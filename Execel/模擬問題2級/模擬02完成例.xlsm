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Thinkpadedge-3\栗原公開\Excel2016実技データ\1・2級_実技用データ_20160725更新\2級模擬問題\模擬問題2\正答例\"/>
    </mc:Choice>
  </mc:AlternateContent>
  <bookViews>
    <workbookView xWindow="0" yWindow="0" windowWidth="16200" windowHeight="12225" activeTab="1"/>
  </bookViews>
  <sheets>
    <sheet name="ピボット" sheetId="5" r:id="rId1"/>
    <sheet name="販売" sheetId="1" r:id="rId2"/>
    <sheet name="フィルター" sheetId="4" r:id="rId3"/>
    <sheet name="商品別" sheetId="2" r:id="rId4"/>
    <sheet name="集計" sheetId="3" r:id="rId5"/>
  </sheets>
  <definedNames>
    <definedName name="_xlnm._FilterDatabase" localSheetId="2" hidden="1">フィルター!$B$12:$H$52</definedName>
    <definedName name="_xlnm.Criteria" localSheetId="2">フィルター!$B$4:$F$6</definedName>
    <definedName name="スライサー_販売員">#N/A</definedName>
  </definedNames>
  <calcPr calcId="162913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1" l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13" i="1"/>
  <c r="G52" i="4" l="1"/>
  <c r="F52" i="4"/>
  <c r="C52" i="4"/>
  <c r="G51" i="4"/>
  <c r="F51" i="4"/>
  <c r="C51" i="4"/>
  <c r="G50" i="4"/>
  <c r="F50" i="4"/>
  <c r="C50" i="4"/>
  <c r="G49" i="4"/>
  <c r="F49" i="4"/>
  <c r="C49" i="4"/>
  <c r="G48" i="4"/>
  <c r="F48" i="4"/>
  <c r="C48" i="4"/>
  <c r="G47" i="4"/>
  <c r="F47" i="4"/>
  <c r="C47" i="4"/>
  <c r="G46" i="4"/>
  <c r="F46" i="4"/>
  <c r="C46" i="4"/>
  <c r="G45" i="4"/>
  <c r="F45" i="4"/>
  <c r="C45" i="4"/>
  <c r="G44" i="4"/>
  <c r="F44" i="4"/>
  <c r="C44" i="4"/>
  <c r="G43" i="4"/>
  <c r="F43" i="4"/>
  <c r="C43" i="4"/>
  <c r="G42" i="4"/>
  <c r="F42" i="4"/>
  <c r="H42" i="4" s="1"/>
  <c r="C42" i="4"/>
  <c r="G41" i="4"/>
  <c r="F41" i="4"/>
  <c r="C41" i="4"/>
  <c r="G40" i="4"/>
  <c r="F40" i="4"/>
  <c r="C40" i="4"/>
  <c r="G39" i="4"/>
  <c r="F39" i="4"/>
  <c r="C39" i="4"/>
  <c r="G38" i="4"/>
  <c r="F38" i="4"/>
  <c r="C38" i="4"/>
  <c r="G37" i="4"/>
  <c r="F37" i="4"/>
  <c r="C37" i="4"/>
  <c r="G36" i="4"/>
  <c r="F36" i="4"/>
  <c r="C36" i="4"/>
  <c r="G35" i="4"/>
  <c r="F35" i="4"/>
  <c r="C35" i="4"/>
  <c r="G34" i="4"/>
  <c r="F34" i="4"/>
  <c r="C34" i="4"/>
  <c r="G33" i="4"/>
  <c r="F33" i="4"/>
  <c r="C33" i="4"/>
  <c r="G32" i="4"/>
  <c r="F32" i="4"/>
  <c r="C32" i="4"/>
  <c r="G31" i="4"/>
  <c r="F31" i="4"/>
  <c r="C31" i="4"/>
  <c r="G30" i="4"/>
  <c r="F30" i="4"/>
  <c r="C30" i="4"/>
  <c r="G29" i="4"/>
  <c r="F29" i="4"/>
  <c r="C29" i="4"/>
  <c r="G28" i="4"/>
  <c r="F28" i="4"/>
  <c r="C28" i="4"/>
  <c r="G27" i="4"/>
  <c r="F27" i="4"/>
  <c r="C27" i="4"/>
  <c r="G26" i="4"/>
  <c r="F26" i="4"/>
  <c r="C26" i="4"/>
  <c r="G25" i="4"/>
  <c r="F25" i="4"/>
  <c r="C25" i="4"/>
  <c r="G24" i="4"/>
  <c r="F24" i="4"/>
  <c r="C24" i="4"/>
  <c r="G23" i="4"/>
  <c r="F23" i="4"/>
  <c r="C23" i="4"/>
  <c r="G22" i="4"/>
  <c r="F22" i="4"/>
  <c r="C22" i="4"/>
  <c r="G21" i="4"/>
  <c r="F21" i="4"/>
  <c r="C21" i="4"/>
  <c r="G20" i="4"/>
  <c r="F20" i="4"/>
  <c r="C20" i="4"/>
  <c r="G19" i="4"/>
  <c r="F19" i="4"/>
  <c r="C19" i="4"/>
  <c r="G18" i="4"/>
  <c r="F18" i="4"/>
  <c r="C18" i="4"/>
  <c r="G17" i="4"/>
  <c r="F17" i="4"/>
  <c r="H17" i="4" s="1"/>
  <c r="C17" i="4"/>
  <c r="G16" i="4"/>
  <c r="F16" i="4"/>
  <c r="C16" i="4"/>
  <c r="G15" i="4"/>
  <c r="F15" i="4"/>
  <c r="C15" i="4"/>
  <c r="G14" i="4"/>
  <c r="F14" i="4"/>
  <c r="C14" i="4"/>
  <c r="G13" i="4"/>
  <c r="F13" i="4"/>
  <c r="C13" i="4"/>
  <c r="E7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13" i="1"/>
  <c r="H13" i="4" l="1"/>
  <c r="H21" i="4"/>
  <c r="H25" i="4"/>
  <c r="H29" i="4"/>
  <c r="H33" i="4"/>
  <c r="H15" i="4"/>
  <c r="H19" i="4"/>
  <c r="H23" i="4"/>
  <c r="H27" i="4"/>
  <c r="H31" i="4"/>
  <c r="H35" i="4"/>
  <c r="H39" i="4"/>
  <c r="H43" i="4"/>
  <c r="H47" i="4"/>
  <c r="H51" i="4"/>
  <c r="H14" i="4"/>
  <c r="H18" i="4"/>
  <c r="H22" i="4"/>
  <c r="H26" i="4"/>
  <c r="H30" i="4"/>
  <c r="H34" i="4"/>
  <c r="H38" i="4"/>
  <c r="H46" i="4"/>
  <c r="H50" i="4"/>
  <c r="H37" i="4"/>
  <c r="H41" i="4"/>
  <c r="H45" i="4"/>
  <c r="H49" i="4"/>
  <c r="H16" i="4"/>
  <c r="H20" i="4"/>
  <c r="H24" i="4"/>
  <c r="H28" i="4"/>
  <c r="H32" i="4"/>
  <c r="H36" i="4"/>
  <c r="H40" i="4"/>
  <c r="H44" i="4"/>
  <c r="H48" i="4"/>
  <c r="H52" i="4"/>
</calcChain>
</file>

<file path=xl/sharedStrings.xml><?xml version="1.0" encoding="utf-8"?>
<sst xmlns="http://schemas.openxmlformats.org/spreadsheetml/2006/main" count="291" uniqueCount="87">
  <si>
    <t>受験番号</t>
    <rPh sb="0" eb="2">
      <t>ジュケン</t>
    </rPh>
    <rPh sb="2" eb="4">
      <t>バンゴウ</t>
    </rPh>
    <phoneticPr fontId="3"/>
  </si>
  <si>
    <t>商品コード表</t>
    <rPh sb="0" eb="2">
      <t>ショウヒン</t>
    </rPh>
    <rPh sb="5" eb="6">
      <t>ヒョウ</t>
    </rPh>
    <phoneticPr fontId="2"/>
  </si>
  <si>
    <t>受験者氏名</t>
    <rPh sb="0" eb="3">
      <t>ジュケンシャ</t>
    </rPh>
    <rPh sb="3" eb="5">
      <t>シメイ</t>
    </rPh>
    <phoneticPr fontId="3"/>
  </si>
  <si>
    <t>品番</t>
    <rPh sb="0" eb="2">
      <t>ヒンバン</t>
    </rPh>
    <phoneticPr fontId="2"/>
  </si>
  <si>
    <t>品名</t>
    <rPh sb="0" eb="2">
      <t>ヒンメイ</t>
    </rPh>
    <phoneticPr fontId="2"/>
  </si>
  <si>
    <t>単価</t>
    <rPh sb="0" eb="2">
      <t>タンカ</t>
    </rPh>
    <phoneticPr fontId="2"/>
  </si>
  <si>
    <t>J001</t>
    <phoneticPr fontId="2"/>
  </si>
  <si>
    <t>数量集計表</t>
    <rPh sb="0" eb="2">
      <t>スウリョウ</t>
    </rPh>
    <rPh sb="2" eb="4">
      <t>シュウケイ</t>
    </rPh>
    <rPh sb="4" eb="5">
      <t>ヒョウ</t>
    </rPh>
    <phoneticPr fontId="2"/>
  </si>
  <si>
    <t>P001</t>
    <phoneticPr fontId="2"/>
  </si>
  <si>
    <t>販売員</t>
    <rPh sb="0" eb="3">
      <t>ハンバイイン</t>
    </rPh>
    <phoneticPr fontId="2"/>
  </si>
  <si>
    <t>合計数量</t>
    <rPh sb="0" eb="2">
      <t>ゴウケイ</t>
    </rPh>
    <rPh sb="2" eb="4">
      <t>スウリョウ</t>
    </rPh>
    <phoneticPr fontId="2"/>
  </si>
  <si>
    <t>C001</t>
    <phoneticPr fontId="2"/>
  </si>
  <si>
    <t>セーター</t>
    <phoneticPr fontId="2"/>
  </si>
  <si>
    <t>今井</t>
    <rPh sb="0" eb="2">
      <t>イマイ</t>
    </rPh>
    <phoneticPr fontId="2"/>
  </si>
  <si>
    <t>K001</t>
    <phoneticPr fontId="2"/>
  </si>
  <si>
    <t>集計日</t>
    <rPh sb="0" eb="2">
      <t>シュウケイ</t>
    </rPh>
    <rPh sb="2" eb="3">
      <t>ビ</t>
    </rPh>
    <phoneticPr fontId="2"/>
  </si>
  <si>
    <t>数量</t>
    <rPh sb="0" eb="2">
      <t>スウリョウ</t>
    </rPh>
    <phoneticPr fontId="2"/>
  </si>
  <si>
    <t>値引率</t>
    <rPh sb="0" eb="2">
      <t>ネビ</t>
    </rPh>
    <rPh sb="2" eb="3">
      <t>リツ</t>
    </rPh>
    <phoneticPr fontId="2"/>
  </si>
  <si>
    <t>値引後金額</t>
    <rPh sb="0" eb="2">
      <t>ネビ</t>
    </rPh>
    <rPh sb="2" eb="3">
      <t>ゴ</t>
    </rPh>
    <rPh sb="3" eb="5">
      <t>キンガク</t>
    </rPh>
    <phoneticPr fontId="2"/>
  </si>
  <si>
    <t>S001</t>
  </si>
  <si>
    <t>今井</t>
    <rPh sb="0" eb="2">
      <t>イマイ</t>
    </rPh>
    <phoneticPr fontId="3"/>
  </si>
  <si>
    <t>J001</t>
  </si>
  <si>
    <t>P001</t>
  </si>
  <si>
    <t>川島</t>
    <rPh sb="0" eb="2">
      <t>カワシマ</t>
    </rPh>
    <phoneticPr fontId="3"/>
  </si>
  <si>
    <t>C001</t>
  </si>
  <si>
    <t>林</t>
    <rPh sb="0" eb="1">
      <t>ハヤシ</t>
    </rPh>
    <phoneticPr fontId="3"/>
  </si>
  <si>
    <t>向田</t>
    <rPh sb="0" eb="2">
      <t>ムコウダ</t>
    </rPh>
    <phoneticPr fontId="3"/>
  </si>
  <si>
    <t>K001</t>
  </si>
  <si>
    <t>P001</t>
    <phoneticPr fontId="2"/>
  </si>
  <si>
    <t>J001</t>
    <phoneticPr fontId="2"/>
  </si>
  <si>
    <t>C001</t>
    <phoneticPr fontId="2"/>
  </si>
  <si>
    <t>S001</t>
    <phoneticPr fontId="2"/>
  </si>
  <si>
    <t>C001</t>
    <phoneticPr fontId="2"/>
  </si>
  <si>
    <t>K001</t>
    <phoneticPr fontId="2"/>
  </si>
  <si>
    <t>川島</t>
    <rPh sb="0" eb="2">
      <t>カワシマ</t>
    </rPh>
    <phoneticPr fontId="2"/>
  </si>
  <si>
    <t>J001</t>
    <phoneticPr fontId="2"/>
  </si>
  <si>
    <t>K001</t>
    <phoneticPr fontId="2"/>
  </si>
  <si>
    <t>１２月の商品別売上表</t>
    <rPh sb="2" eb="3">
      <t>ゲツ</t>
    </rPh>
    <rPh sb="4" eb="6">
      <t>ショウヒン</t>
    </rPh>
    <rPh sb="6" eb="7">
      <t>ベツ</t>
    </rPh>
    <rPh sb="7" eb="9">
      <t>ウリアゲ</t>
    </rPh>
    <rPh sb="9" eb="10">
      <t>ヒョウ</t>
    </rPh>
    <phoneticPr fontId="2"/>
  </si>
  <si>
    <t>金額</t>
    <rPh sb="0" eb="2">
      <t>キンガク</t>
    </rPh>
    <phoneticPr fontId="2"/>
  </si>
  <si>
    <t>S001</t>
    <phoneticPr fontId="2"/>
  </si>
  <si>
    <t>セーター</t>
  </si>
  <si>
    <t>ジャケット</t>
  </si>
  <si>
    <t>P001</t>
    <phoneticPr fontId="2"/>
  </si>
  <si>
    <t>パンツ</t>
  </si>
  <si>
    <t>スカート</t>
  </si>
  <si>
    <t>K001</t>
    <phoneticPr fontId="2"/>
  </si>
  <si>
    <t>コート</t>
  </si>
  <si>
    <t>1２月の売上比較</t>
    <rPh sb="2" eb="3">
      <t>ガツ</t>
    </rPh>
    <rPh sb="4" eb="6">
      <t>ウリアゲ</t>
    </rPh>
    <rPh sb="6" eb="8">
      <t>ヒカク</t>
    </rPh>
    <phoneticPr fontId="2"/>
  </si>
  <si>
    <t>10月売上表</t>
    <rPh sb="2" eb="3">
      <t>ガツ</t>
    </rPh>
    <rPh sb="3" eb="5">
      <t>ウリアゲ</t>
    </rPh>
    <rPh sb="5" eb="6">
      <t>ヒョウ</t>
    </rPh>
    <phoneticPr fontId="2"/>
  </si>
  <si>
    <t>四半期売上表</t>
    <rPh sb="0" eb="3">
      <t>シハンキ</t>
    </rPh>
    <rPh sb="3" eb="5">
      <t>ウリアゲ</t>
    </rPh>
    <rPh sb="5" eb="6">
      <t>ヒョウ</t>
    </rPh>
    <phoneticPr fontId="2"/>
  </si>
  <si>
    <t>数量</t>
  </si>
  <si>
    <t>林</t>
    <rPh sb="0" eb="1">
      <t>ハヤシ</t>
    </rPh>
    <phoneticPr fontId="2"/>
  </si>
  <si>
    <t>向田</t>
    <rPh sb="0" eb="2">
      <t>ムコウダ</t>
    </rPh>
    <phoneticPr fontId="2"/>
  </si>
  <si>
    <t>11月売上表</t>
    <rPh sb="2" eb="3">
      <t>ガツ</t>
    </rPh>
    <rPh sb="3" eb="5">
      <t>ウリアゲ</t>
    </rPh>
    <rPh sb="5" eb="6">
      <t>ヒョウ</t>
    </rPh>
    <phoneticPr fontId="2"/>
  </si>
  <si>
    <t>12月売上表</t>
    <rPh sb="2" eb="3">
      <t>ガツ</t>
    </rPh>
    <rPh sb="3" eb="5">
      <t>ウリアゲ</t>
    </rPh>
    <rPh sb="5" eb="6">
      <t>ヒョウ</t>
    </rPh>
    <phoneticPr fontId="2"/>
  </si>
  <si>
    <t>サーティファイ</t>
    <phoneticPr fontId="2"/>
  </si>
  <si>
    <t>S001</t>
    <phoneticPr fontId="2"/>
  </si>
  <si>
    <t>J001</t>
    <phoneticPr fontId="2"/>
  </si>
  <si>
    <t>P001</t>
    <phoneticPr fontId="2"/>
  </si>
  <si>
    <t>C001</t>
    <phoneticPr fontId="2"/>
  </si>
  <si>
    <t>K001</t>
    <phoneticPr fontId="2"/>
  </si>
  <si>
    <t>セーター</t>
    <phoneticPr fontId="2"/>
  </si>
  <si>
    <t>ジャケット</t>
    <phoneticPr fontId="2"/>
  </si>
  <si>
    <t>パンツ</t>
    <phoneticPr fontId="2"/>
  </si>
  <si>
    <t>スカート</t>
    <phoneticPr fontId="2"/>
  </si>
  <si>
    <t>コート</t>
    <phoneticPr fontId="2"/>
  </si>
  <si>
    <t>S001</t>
    <phoneticPr fontId="2"/>
  </si>
  <si>
    <t>J001</t>
    <phoneticPr fontId="2"/>
  </si>
  <si>
    <t>ジャケット</t>
    <phoneticPr fontId="2"/>
  </si>
  <si>
    <t>パンツ</t>
    <phoneticPr fontId="2"/>
  </si>
  <si>
    <t>C001</t>
    <phoneticPr fontId="2"/>
  </si>
  <si>
    <t>コート</t>
    <phoneticPr fontId="2"/>
  </si>
  <si>
    <t>ジャケット</t>
    <phoneticPr fontId="2"/>
  </si>
  <si>
    <t>コート</t>
    <phoneticPr fontId="2"/>
  </si>
  <si>
    <t>&gt;10</t>
    <phoneticPr fontId="2"/>
  </si>
  <si>
    <t>&gt;20</t>
    <phoneticPr fontId="2"/>
  </si>
  <si>
    <t>行ラベル</t>
  </si>
  <si>
    <t>総計</t>
  </si>
  <si>
    <t>列ラベル</t>
  </si>
  <si>
    <t>今井</t>
  </si>
  <si>
    <t>合計 / 数量</t>
  </si>
  <si>
    <t>全体の 合計 / 数量</t>
  </si>
  <si>
    <t>全体の 合計 / 値引後金額</t>
  </si>
  <si>
    <t>合計 / 値引後金額</t>
  </si>
  <si>
    <t>川島</t>
  </si>
  <si>
    <t>林</t>
  </si>
  <si>
    <t>向田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</si>
</sst>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4" fillId="0" borderId="0" xfId="0" applyFont="1" applyAlignment="1">
      <alignment vertical="center"/>
    </xf>
    <xf numFmtId="0" fontId="0" fillId="0" borderId="1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>
      <alignment vertical="center"/>
    </xf>
    <xf numFmtId="0" fontId="5" fillId="2" borderId="4" xfId="0" applyFont="1" applyFill="1" applyBorder="1" applyAlignment="1">
      <alignment horizontal="center" vertical="center"/>
    </xf>
    <xf numFmtId="0" fontId="5" fillId="0" borderId="4" xfId="0" applyFont="1" applyBorder="1" applyAlignment="1">
      <alignment vertical="center"/>
    </xf>
    <xf numFmtId="38" fontId="5" fillId="0" borderId="4" xfId="1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right" vertical="center"/>
    </xf>
    <xf numFmtId="0" fontId="5" fillId="0" borderId="0" xfId="0" applyFont="1" applyBorder="1" applyAlignment="1">
      <alignment vertical="center"/>
    </xf>
    <xf numFmtId="0" fontId="0" fillId="0" borderId="0" xfId="0" applyFont="1">
      <alignment vertical="center"/>
    </xf>
    <xf numFmtId="0" fontId="0" fillId="0" borderId="0" xfId="0" applyFont="1" applyBorder="1">
      <alignment vertical="center"/>
    </xf>
    <xf numFmtId="0" fontId="6" fillId="0" borderId="0" xfId="0" applyFont="1">
      <alignment vertical="center"/>
    </xf>
    <xf numFmtId="0" fontId="5" fillId="4" borderId="4" xfId="0" applyFont="1" applyFill="1" applyBorder="1" applyAlignment="1">
      <alignment horizontal="center" vertical="center"/>
    </xf>
    <xf numFmtId="0" fontId="5" fillId="0" borderId="4" xfId="0" applyFont="1" applyBorder="1">
      <alignment vertical="center"/>
    </xf>
    <xf numFmtId="38" fontId="5" fillId="0" borderId="4" xfId="1" applyFont="1" applyBorder="1">
      <alignment vertical="center"/>
    </xf>
    <xf numFmtId="0" fontId="5" fillId="5" borderId="4" xfId="0" applyFont="1" applyFill="1" applyBorder="1" applyAlignment="1">
      <alignment horizontal="center" vertical="center"/>
    </xf>
    <xf numFmtId="0" fontId="5" fillId="0" borderId="0" xfId="0" applyFont="1" applyBorder="1">
      <alignment vertical="center"/>
    </xf>
    <xf numFmtId="0" fontId="5" fillId="0" borderId="1" xfId="0" applyNumberFormat="1" applyFont="1" applyBorder="1" applyAlignment="1">
      <alignment horizontal="left" vertical="center"/>
    </xf>
    <xf numFmtId="176" fontId="5" fillId="3" borderId="0" xfId="0" applyNumberFormat="1" applyFont="1" applyFill="1" applyBorder="1" applyAlignment="1">
      <alignment horizontal="right" vertical="center"/>
    </xf>
    <xf numFmtId="38" fontId="5" fillId="0" borderId="4" xfId="1" applyNumberFormat="1" applyFont="1" applyBorder="1" applyAlignment="1">
      <alignment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vertical="center"/>
    </xf>
    <xf numFmtId="38" fontId="5" fillId="7" borderId="6" xfId="1" applyNumberFormat="1" applyFont="1" applyFill="1" applyBorder="1" applyAlignment="1">
      <alignment vertical="center"/>
    </xf>
    <xf numFmtId="9" fontId="5" fillId="7" borderId="6" xfId="2" applyNumberFormat="1" applyFont="1" applyFill="1" applyBorder="1" applyAlignment="1">
      <alignment vertical="center"/>
    </xf>
    <xf numFmtId="38" fontId="5" fillId="7" borderId="5" xfId="1" applyNumberFormat="1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38" fontId="5" fillId="0" borderId="6" xfId="1" applyNumberFormat="1" applyFont="1" applyBorder="1" applyAlignment="1">
      <alignment vertical="center"/>
    </xf>
    <xf numFmtId="9" fontId="5" fillId="0" borderId="6" xfId="2" applyNumberFormat="1" applyFont="1" applyBorder="1" applyAlignment="1">
      <alignment vertical="center"/>
    </xf>
    <xf numFmtId="38" fontId="5" fillId="0" borderId="5" xfId="1" applyNumberFormat="1" applyFont="1" applyBorder="1" applyAlignment="1">
      <alignment vertical="center"/>
    </xf>
    <xf numFmtId="0" fontId="5" fillId="0" borderId="1" xfId="0" applyFont="1" applyBorder="1" applyAlignment="1">
      <alignment vertical="center"/>
    </xf>
    <xf numFmtId="38" fontId="5" fillId="0" borderId="1" xfId="1" applyNumberFormat="1" applyFont="1" applyBorder="1" applyAlignment="1">
      <alignment vertical="center"/>
    </xf>
    <xf numFmtId="9" fontId="5" fillId="0" borderId="1" xfId="2" applyNumberFormat="1" applyFont="1" applyBorder="1" applyAlignme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3" fontId="0" fillId="0" borderId="0" xfId="0" applyNumberFormat="1">
      <alignment vertical="center"/>
    </xf>
    <xf numFmtId="38" fontId="5" fillId="0" borderId="4" xfId="0" applyNumberFormat="1" applyFont="1" applyBorder="1">
      <alignment vertical="center"/>
    </xf>
    <xf numFmtId="0" fontId="5" fillId="4" borderId="4" xfId="0" applyFont="1" applyFill="1" applyBorder="1" applyAlignment="1">
      <alignment horizontal="center" vertical="center"/>
    </xf>
    <xf numFmtId="38" fontId="5" fillId="7" borderId="6" xfId="1" applyFont="1" applyFill="1" applyBorder="1" applyAlignment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sng" strike="noStrike" kern="1200" cap="all" spc="5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200" u="sng">
                <a:solidFill>
                  <a:srgbClr val="002060"/>
                </a:solidFill>
              </a:rPr>
              <a:t>１２月商品別構成比</a:t>
            </a:r>
            <a:endParaRPr lang="ja-JP" sz="1200" u="sng">
              <a:solidFill>
                <a:srgbClr val="00206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sng" strike="noStrike" kern="1200" cap="all" spc="5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商品別!$D$4</c:f>
              <c:strCache>
                <c:ptCount val="1"/>
                <c:pt idx="0">
                  <c:v>数量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8DA-499E-98C7-5EA0B90673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8DA-499E-98C7-5EA0B906732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8DA-499E-98C7-5EA0B906732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8DA-499E-98C7-5EA0B906732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E8DA-499E-98C7-5EA0B906732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商品別!$C$5:$C$9</c:f>
              <c:strCache>
                <c:ptCount val="5"/>
                <c:pt idx="0">
                  <c:v>セーター</c:v>
                </c:pt>
                <c:pt idx="1">
                  <c:v>ジャケット</c:v>
                </c:pt>
                <c:pt idx="2">
                  <c:v>パンツ</c:v>
                </c:pt>
                <c:pt idx="3">
                  <c:v>スカート</c:v>
                </c:pt>
                <c:pt idx="4">
                  <c:v>コート</c:v>
                </c:pt>
              </c:strCache>
            </c:strRef>
          </c:cat>
          <c:val>
            <c:numRef>
              <c:f>商品別!$D$5:$D$9</c:f>
              <c:numCache>
                <c:formatCode>General</c:formatCode>
                <c:ptCount val="5"/>
                <c:pt idx="0">
                  <c:v>762</c:v>
                </c:pt>
                <c:pt idx="1">
                  <c:v>682</c:v>
                </c:pt>
                <c:pt idx="2">
                  <c:v>830</c:v>
                </c:pt>
                <c:pt idx="3">
                  <c:v>580</c:v>
                </c:pt>
                <c:pt idx="4">
                  <c:v>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DD-476E-A170-3B6129E5889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3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noFill/>
      <a:round/>
    </a:ln>
    <a:effectLst>
      <a:softEdge rad="63500"/>
    </a:effectLst>
  </c:spPr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</xdr:row>
      <xdr:rowOff>0</xdr:rowOff>
    </xdr:from>
    <xdr:to>
      <xdr:col>6</xdr:col>
      <xdr:colOff>114300</xdr:colOff>
      <xdr:row>13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販売員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販売員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33875" y="47625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7</xdr:row>
      <xdr:rowOff>171449</xdr:rowOff>
    </xdr:from>
    <xdr:to>
      <xdr:col>5</xdr:col>
      <xdr:colOff>108225</xdr:colOff>
      <xdr:row>9</xdr:row>
      <xdr:rowOff>235199</xdr:rowOff>
    </xdr:to>
    <xdr:sp macro="" textlink="">
      <xdr:nvSpPr>
        <xdr:cNvPr id="2" name="四角形吹き出し 1"/>
        <xdr:cNvSpPr/>
      </xdr:nvSpPr>
      <xdr:spPr>
        <a:xfrm>
          <a:off x="419100" y="1838324"/>
          <a:ext cx="2880000" cy="540000"/>
        </a:xfrm>
        <a:prstGeom prst="wedgeRectCallou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/>
            <a:t>販売員別週間売上表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7</xdr:row>
      <xdr:rowOff>171449</xdr:rowOff>
    </xdr:from>
    <xdr:to>
      <xdr:col>5</xdr:col>
      <xdr:colOff>108225</xdr:colOff>
      <xdr:row>9</xdr:row>
      <xdr:rowOff>235199</xdr:rowOff>
    </xdr:to>
    <xdr:sp macro="" textlink="">
      <xdr:nvSpPr>
        <xdr:cNvPr id="2" name="四角形吹き出し 1"/>
        <xdr:cNvSpPr/>
      </xdr:nvSpPr>
      <xdr:spPr>
        <a:xfrm>
          <a:off x="419100" y="1838324"/>
          <a:ext cx="2880000" cy="540000"/>
        </a:xfrm>
        <a:prstGeom prst="wedgeRectCallou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/>
            <a:t>販売員別週間売上表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38099</xdr:colOff>
      <xdr:row>1</xdr:row>
      <xdr:rowOff>61910</xdr:rowOff>
    </xdr:from>
    <xdr:to>
      <xdr:col>12</xdr:col>
      <xdr:colOff>638174</xdr:colOff>
      <xdr:row>15</xdr:row>
      <xdr:rowOff>180974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deavor-1" refreshedDate="42551.547433333333" createdVersion="6" refreshedVersion="6" minRefreshableVersion="3" recordCount="40">
  <cacheSource type="worksheet">
    <worksheetSource ref="B12:H52" sheet="販売"/>
  </cacheSource>
  <cacheFields count="7">
    <cacheField name="品番" numFmtId="0">
      <sharedItems/>
    </cacheField>
    <cacheField name="品名" numFmtId="0">
      <sharedItems count="5">
        <s v="セーター"/>
        <s v="ジャケット"/>
        <s v="パンツ"/>
        <s v="スカート"/>
        <s v="コート"/>
      </sharedItems>
    </cacheField>
    <cacheField name="販売員" numFmtId="0">
      <sharedItems count="4">
        <s v="今井"/>
        <s v="川島"/>
        <s v="林"/>
        <s v="向田"/>
      </sharedItems>
    </cacheField>
    <cacheField name="数量" numFmtId="0">
      <sharedItems containsSemiMixedTypes="0" containsString="0" containsNumber="1" containsInteger="1" minValue="8" maxValue="48"/>
    </cacheField>
    <cacheField name="単価" numFmtId="38">
      <sharedItems containsSemiMixedTypes="0" containsString="0" containsNumber="1" containsInteger="1" minValue="8500" maxValue="25000"/>
    </cacheField>
    <cacheField name="値引率" numFmtId="9">
      <sharedItems containsSemiMixedTypes="0" containsString="0" containsNumber="1" minValue="0.05" maxValue="0.1"/>
    </cacheField>
    <cacheField name="値引後金額" numFmtId="38">
      <sharedItems containsSemiMixedTypes="0" containsString="0" containsNumber="1" containsInteger="1" minValue="96900" maxValue="5985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s v="S001"/>
    <x v="0"/>
    <x v="0"/>
    <n v="35"/>
    <n v="8900"/>
    <n v="0.1"/>
    <n v="280350"/>
  </r>
  <r>
    <s v="J001"/>
    <x v="1"/>
    <x v="0"/>
    <n v="17"/>
    <n v="15000"/>
    <n v="0.1"/>
    <n v="229500"/>
  </r>
  <r>
    <s v="P001"/>
    <x v="2"/>
    <x v="1"/>
    <n v="38"/>
    <n v="9800"/>
    <n v="0.1"/>
    <n v="335160"/>
  </r>
  <r>
    <s v="C001"/>
    <x v="3"/>
    <x v="0"/>
    <n v="16"/>
    <n v="8500"/>
    <n v="0.1"/>
    <n v="122400"/>
  </r>
  <r>
    <s v="S001"/>
    <x v="0"/>
    <x v="2"/>
    <n v="25"/>
    <n v="8900"/>
    <n v="0.05"/>
    <n v="211375"/>
  </r>
  <r>
    <s v="P001"/>
    <x v="2"/>
    <x v="1"/>
    <n v="48"/>
    <n v="9800"/>
    <n v="0.1"/>
    <n v="423360"/>
  </r>
  <r>
    <s v="J001"/>
    <x v="1"/>
    <x v="3"/>
    <n v="24"/>
    <n v="15000"/>
    <n v="0.05"/>
    <n v="342000"/>
  </r>
  <r>
    <s v="P001"/>
    <x v="2"/>
    <x v="1"/>
    <n v="32"/>
    <n v="9800"/>
    <n v="0.1"/>
    <n v="282240"/>
  </r>
  <r>
    <s v="C001"/>
    <x v="3"/>
    <x v="2"/>
    <n v="18"/>
    <n v="8500"/>
    <n v="0.05"/>
    <n v="145350"/>
  </r>
  <r>
    <s v="S001"/>
    <x v="0"/>
    <x v="1"/>
    <n v="13"/>
    <n v="8900"/>
    <n v="0.1"/>
    <n v="104130"/>
  </r>
  <r>
    <s v="K001"/>
    <x v="4"/>
    <x v="2"/>
    <n v="12"/>
    <n v="25000"/>
    <n v="0.05"/>
    <n v="285000"/>
  </r>
  <r>
    <s v="J001"/>
    <x v="1"/>
    <x v="0"/>
    <n v="8"/>
    <n v="15000"/>
    <n v="0.1"/>
    <n v="108000"/>
  </r>
  <r>
    <s v="P001"/>
    <x v="2"/>
    <x v="3"/>
    <n v="15"/>
    <n v="9800"/>
    <n v="0.05"/>
    <n v="139650"/>
  </r>
  <r>
    <s v="C001"/>
    <x v="3"/>
    <x v="2"/>
    <n v="14"/>
    <n v="8500"/>
    <n v="0.05"/>
    <n v="113050"/>
  </r>
  <r>
    <s v="K001"/>
    <x v="4"/>
    <x v="2"/>
    <n v="18"/>
    <n v="25000"/>
    <n v="0.05"/>
    <n v="427500"/>
  </r>
  <r>
    <s v="J001"/>
    <x v="1"/>
    <x v="1"/>
    <n v="32"/>
    <n v="15000"/>
    <n v="0.1"/>
    <n v="432000"/>
  </r>
  <r>
    <s v="S001"/>
    <x v="0"/>
    <x v="0"/>
    <n v="36"/>
    <n v="8900"/>
    <n v="0.1"/>
    <n v="288360"/>
  </r>
  <r>
    <s v="P001"/>
    <x v="2"/>
    <x v="2"/>
    <n v="26"/>
    <n v="9800"/>
    <n v="0.05"/>
    <n v="242060"/>
  </r>
  <r>
    <s v="C001"/>
    <x v="3"/>
    <x v="3"/>
    <n v="28"/>
    <n v="8500"/>
    <n v="0.05"/>
    <n v="226100"/>
  </r>
  <r>
    <s v="K001"/>
    <x v="4"/>
    <x v="3"/>
    <n v="16"/>
    <n v="25000"/>
    <n v="0.05"/>
    <n v="380000"/>
  </r>
  <r>
    <s v="P001"/>
    <x v="2"/>
    <x v="0"/>
    <n v="22"/>
    <n v="9800"/>
    <n v="0.1"/>
    <n v="194040"/>
  </r>
  <r>
    <s v="S001"/>
    <x v="0"/>
    <x v="1"/>
    <n v="30"/>
    <n v="8900"/>
    <n v="0.1"/>
    <n v="240300"/>
  </r>
  <r>
    <s v="K001"/>
    <x v="4"/>
    <x v="0"/>
    <n v="8"/>
    <n v="25000"/>
    <n v="0.1"/>
    <n v="180000"/>
  </r>
  <r>
    <s v="J001"/>
    <x v="1"/>
    <x v="2"/>
    <n v="42"/>
    <n v="15000"/>
    <n v="0.05"/>
    <n v="598500"/>
  </r>
  <r>
    <s v="C001"/>
    <x v="3"/>
    <x v="0"/>
    <n v="15"/>
    <n v="8500"/>
    <n v="0.1"/>
    <n v="114750"/>
  </r>
  <r>
    <s v="S001"/>
    <x v="0"/>
    <x v="3"/>
    <n v="17"/>
    <n v="8900"/>
    <n v="0.05"/>
    <n v="143735"/>
  </r>
  <r>
    <s v="S001"/>
    <x v="0"/>
    <x v="2"/>
    <n v="16"/>
    <n v="8900"/>
    <n v="0.05"/>
    <n v="135280"/>
  </r>
  <r>
    <s v="K001"/>
    <x v="4"/>
    <x v="3"/>
    <n v="10"/>
    <n v="25000"/>
    <n v="0.05"/>
    <n v="237500"/>
  </r>
  <r>
    <s v="C001"/>
    <x v="3"/>
    <x v="1"/>
    <n v="26"/>
    <n v="8500"/>
    <n v="0.1"/>
    <n v="198900"/>
  </r>
  <r>
    <s v="J001"/>
    <x v="1"/>
    <x v="1"/>
    <n v="9"/>
    <n v="15000"/>
    <n v="0.1"/>
    <n v="121500"/>
  </r>
  <r>
    <s v="C001"/>
    <x v="3"/>
    <x v="2"/>
    <n v="12"/>
    <n v="8500"/>
    <n v="0.05"/>
    <n v="96900"/>
  </r>
  <r>
    <s v="P001"/>
    <x v="2"/>
    <x v="3"/>
    <n v="25"/>
    <n v="9800"/>
    <n v="0.05"/>
    <n v="232750"/>
  </r>
  <r>
    <s v="J001"/>
    <x v="1"/>
    <x v="3"/>
    <n v="14"/>
    <n v="15000"/>
    <n v="0.05"/>
    <n v="199500"/>
  </r>
  <r>
    <s v="C001"/>
    <x v="3"/>
    <x v="0"/>
    <n v="34"/>
    <n v="8500"/>
    <n v="0.1"/>
    <n v="260100"/>
  </r>
  <r>
    <s v="K001"/>
    <x v="4"/>
    <x v="1"/>
    <n v="22"/>
    <n v="25000"/>
    <n v="0.1"/>
    <n v="495000"/>
  </r>
  <r>
    <s v="S001"/>
    <x v="0"/>
    <x v="2"/>
    <n v="28"/>
    <n v="8900"/>
    <n v="0.05"/>
    <n v="236740"/>
  </r>
  <r>
    <s v="K001"/>
    <x v="4"/>
    <x v="1"/>
    <n v="16"/>
    <n v="25000"/>
    <n v="0.1"/>
    <n v="360000"/>
  </r>
  <r>
    <s v="J001"/>
    <x v="1"/>
    <x v="0"/>
    <n v="13"/>
    <n v="15000"/>
    <n v="0.1"/>
    <n v="175500"/>
  </r>
  <r>
    <s v="P001"/>
    <x v="2"/>
    <x v="3"/>
    <n v="18"/>
    <n v="9800"/>
    <n v="0.05"/>
    <n v="167580"/>
  </r>
  <r>
    <s v="K001"/>
    <x v="4"/>
    <x v="3"/>
    <n v="24"/>
    <n v="25000"/>
    <n v="0.05"/>
    <n v="57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ピボットテーブル1" cacheId="0" dataOnRows="1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>
  <location ref="A3:C21" firstHeaderRow="1" firstDataRow="2" firstDataCol="1"/>
  <pivotFields count="7">
    <pivotField showAll="0"/>
    <pivotField axis="axisRow" showAll="0">
      <items count="6">
        <item x="4"/>
        <item x="1"/>
        <item x="3"/>
        <item x="0"/>
        <item x="2"/>
        <item t="default"/>
      </items>
    </pivotField>
    <pivotField axis="axisCol" showAll="0">
      <items count="5">
        <item h="1" x="3"/>
        <item x="0"/>
        <item h="1" x="1"/>
        <item h="1" x="2"/>
        <item t="default"/>
      </items>
    </pivotField>
    <pivotField dataField="1" showAll="0"/>
    <pivotField numFmtId="38" showAll="0"/>
    <pivotField numFmtId="9" showAll="0"/>
    <pivotField dataField="1" numFmtId="38" showAll="0"/>
  </pivotFields>
  <rowFields count="2">
    <field x="1"/>
    <field x="-2"/>
  </rowFields>
  <rowItems count="17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  <i t="grand">
      <x/>
    </i>
    <i t="grand" i="1">
      <x/>
    </i>
  </rowItems>
  <colFields count="1">
    <field x="2"/>
  </colFields>
  <colItems count="2">
    <i>
      <x v="1"/>
    </i>
    <i t="grand">
      <x/>
    </i>
  </colItems>
  <dataFields count="2">
    <dataField name="合計 / 数量" fld="3" baseField="0" baseItem="0"/>
    <dataField name="合計 / 値引後金額" fld="6" baseField="1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スライサー_販売員" sourceName="販売員">
  <pivotTables>
    <pivotTable tabId="5" name="ピボットテーブル1"/>
  </pivotTables>
  <data>
    <tabular pivotCacheId="1">
      <items count="4">
        <i x="3"/>
        <i x="0" s="1"/>
        <i x="1"/>
        <i x="2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販売員" cache="スライサー_販売員" caption="販売員" rowHeight="257175"/>
</slicer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21"/>
  <sheetViews>
    <sheetView workbookViewId="0"/>
  </sheetViews>
  <sheetFormatPr defaultRowHeight="18.75" x14ac:dyDescent="0.4"/>
  <cols>
    <col min="1" max="1" width="24.375" bestFit="1" customWidth="1"/>
    <col min="2" max="2" width="11.25" bestFit="1" customWidth="1"/>
    <col min="3" max="5" width="10.625" bestFit="1" customWidth="1"/>
    <col min="6" max="6" width="11.875" bestFit="1" customWidth="1"/>
    <col min="7" max="7" width="17.625" bestFit="1" customWidth="1"/>
    <col min="8" max="8" width="11.375" bestFit="1" customWidth="1"/>
    <col min="9" max="9" width="17.625" bestFit="1" customWidth="1"/>
    <col min="10" max="10" width="18.125" bestFit="1" customWidth="1"/>
    <col min="11" max="11" width="24.375" bestFit="1" customWidth="1"/>
  </cols>
  <sheetData>
    <row r="3" spans="1:3" x14ac:dyDescent="0.4">
      <c r="B3" s="38" t="s">
        <v>78</v>
      </c>
    </row>
    <row r="4" spans="1:3" x14ac:dyDescent="0.4">
      <c r="A4" s="38" t="s">
        <v>76</v>
      </c>
      <c r="B4" t="s">
        <v>79</v>
      </c>
      <c r="C4" t="s">
        <v>77</v>
      </c>
    </row>
    <row r="5" spans="1:3" x14ac:dyDescent="0.4">
      <c r="A5" s="39" t="s">
        <v>46</v>
      </c>
      <c r="B5" s="40"/>
      <c r="C5" s="40"/>
    </row>
    <row r="6" spans="1:3" x14ac:dyDescent="0.4">
      <c r="A6" s="41" t="s">
        <v>80</v>
      </c>
      <c r="B6" s="40">
        <v>8</v>
      </c>
      <c r="C6" s="40">
        <v>8</v>
      </c>
    </row>
    <row r="7" spans="1:3" x14ac:dyDescent="0.4">
      <c r="A7" s="41" t="s">
        <v>83</v>
      </c>
      <c r="B7" s="42">
        <v>180000</v>
      </c>
      <c r="C7" s="42">
        <v>180000</v>
      </c>
    </row>
    <row r="8" spans="1:3" x14ac:dyDescent="0.4">
      <c r="A8" s="39" t="s">
        <v>41</v>
      </c>
      <c r="B8" s="40"/>
      <c r="C8" s="40"/>
    </row>
    <row r="9" spans="1:3" x14ac:dyDescent="0.4">
      <c r="A9" s="41" t="s">
        <v>80</v>
      </c>
      <c r="B9" s="40">
        <v>38</v>
      </c>
      <c r="C9" s="40">
        <v>38</v>
      </c>
    </row>
    <row r="10" spans="1:3" x14ac:dyDescent="0.4">
      <c r="A10" s="41" t="s">
        <v>83</v>
      </c>
      <c r="B10" s="42">
        <v>513000</v>
      </c>
      <c r="C10" s="42">
        <v>513000</v>
      </c>
    </row>
    <row r="11" spans="1:3" x14ac:dyDescent="0.4">
      <c r="A11" s="39" t="s">
        <v>44</v>
      </c>
      <c r="B11" s="40"/>
      <c r="C11" s="40"/>
    </row>
    <row r="12" spans="1:3" x14ac:dyDescent="0.4">
      <c r="A12" s="41" t="s">
        <v>80</v>
      </c>
      <c r="B12" s="40">
        <v>65</v>
      </c>
      <c r="C12" s="40">
        <v>65</v>
      </c>
    </row>
    <row r="13" spans="1:3" x14ac:dyDescent="0.4">
      <c r="A13" s="41" t="s">
        <v>83</v>
      </c>
      <c r="B13" s="42">
        <v>497250</v>
      </c>
      <c r="C13" s="42">
        <v>497250</v>
      </c>
    </row>
    <row r="14" spans="1:3" x14ac:dyDescent="0.4">
      <c r="A14" s="39" t="s">
        <v>40</v>
      </c>
      <c r="B14" s="40"/>
      <c r="C14" s="40"/>
    </row>
    <row r="15" spans="1:3" x14ac:dyDescent="0.4">
      <c r="A15" s="41" t="s">
        <v>80</v>
      </c>
      <c r="B15" s="40">
        <v>71</v>
      </c>
      <c r="C15" s="40">
        <v>71</v>
      </c>
    </row>
    <row r="16" spans="1:3" x14ac:dyDescent="0.4">
      <c r="A16" s="41" t="s">
        <v>83</v>
      </c>
      <c r="B16" s="42">
        <v>568710</v>
      </c>
      <c r="C16" s="42">
        <v>568710</v>
      </c>
    </row>
    <row r="17" spans="1:3" x14ac:dyDescent="0.4">
      <c r="A17" s="39" t="s">
        <v>43</v>
      </c>
      <c r="B17" s="40"/>
      <c r="C17" s="40"/>
    </row>
    <row r="18" spans="1:3" x14ac:dyDescent="0.4">
      <c r="A18" s="41" t="s">
        <v>80</v>
      </c>
      <c r="B18" s="40">
        <v>22</v>
      </c>
      <c r="C18" s="40">
        <v>22</v>
      </c>
    </row>
    <row r="19" spans="1:3" x14ac:dyDescent="0.4">
      <c r="A19" s="41" t="s">
        <v>83</v>
      </c>
      <c r="B19" s="42">
        <v>194040</v>
      </c>
      <c r="C19" s="42">
        <v>194040</v>
      </c>
    </row>
    <row r="20" spans="1:3" x14ac:dyDescent="0.4">
      <c r="A20" s="39" t="s">
        <v>81</v>
      </c>
      <c r="B20" s="40">
        <v>204</v>
      </c>
      <c r="C20" s="40">
        <v>204</v>
      </c>
    </row>
    <row r="21" spans="1:3" x14ac:dyDescent="0.4">
      <c r="A21" s="39" t="s">
        <v>82</v>
      </c>
      <c r="B21" s="42">
        <v>1953000</v>
      </c>
      <c r="C21" s="42">
        <v>1953000</v>
      </c>
    </row>
  </sheetData>
  <phoneticPr fontId="2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2"/>
  <sheetViews>
    <sheetView showGridLines="0" tabSelected="1" workbookViewId="0"/>
  </sheetViews>
  <sheetFormatPr defaultRowHeight="18.75" x14ac:dyDescent="0.4"/>
  <cols>
    <col min="1" max="1" width="3.625" style="6" customWidth="1"/>
    <col min="2" max="2" width="8.625" style="6" customWidth="1"/>
    <col min="3" max="3" width="11.625" style="6" customWidth="1"/>
    <col min="4" max="7" width="9" style="6" customWidth="1"/>
    <col min="8" max="8" width="12.75" style="6" customWidth="1"/>
    <col min="9" max="9" width="11.625" style="6" customWidth="1"/>
    <col min="10" max="16384" width="9" style="6"/>
  </cols>
  <sheetData>
    <row r="1" spans="1:11" x14ac:dyDescent="0.4">
      <c r="A1" s="2" t="s">
        <v>0</v>
      </c>
      <c r="B1" s="3"/>
      <c r="C1" s="22">
        <v>1234567</v>
      </c>
      <c r="D1" s="4"/>
      <c r="E1" s="3"/>
      <c r="F1" s="5"/>
      <c r="H1" s="1" t="s">
        <v>1</v>
      </c>
      <c r="I1" s="5"/>
      <c r="J1" s="5"/>
      <c r="K1" s="5"/>
    </row>
    <row r="2" spans="1:11" x14ac:dyDescent="0.4">
      <c r="A2" s="2" t="s">
        <v>2</v>
      </c>
      <c r="B2" s="3"/>
      <c r="C2" s="2" t="s">
        <v>55</v>
      </c>
      <c r="D2" s="4"/>
      <c r="E2" s="3"/>
      <c r="F2" s="5"/>
      <c r="H2" s="7" t="s">
        <v>3</v>
      </c>
      <c r="I2" s="7" t="s">
        <v>4</v>
      </c>
      <c r="J2" s="7" t="s">
        <v>5</v>
      </c>
      <c r="K2" s="5"/>
    </row>
    <row r="3" spans="1:11" x14ac:dyDescent="0.4">
      <c r="A3" s="5"/>
      <c r="B3" s="5"/>
      <c r="C3" s="5"/>
      <c r="D3" s="5"/>
      <c r="E3" s="5"/>
      <c r="F3" s="5"/>
      <c r="H3" s="8" t="s">
        <v>56</v>
      </c>
      <c r="I3" s="8" t="s">
        <v>61</v>
      </c>
      <c r="J3" s="9">
        <v>8900</v>
      </c>
      <c r="K3" s="5"/>
    </row>
    <row r="4" spans="1:11" x14ac:dyDescent="0.4">
      <c r="A4" s="5"/>
      <c r="B4" s="5"/>
      <c r="C4" s="5"/>
      <c r="D4" s="5"/>
      <c r="E4" s="5"/>
      <c r="F4" s="5"/>
      <c r="H4" s="8" t="s">
        <v>57</v>
      </c>
      <c r="I4" s="8" t="s">
        <v>72</v>
      </c>
      <c r="J4" s="9">
        <v>15000</v>
      </c>
      <c r="K4" s="5"/>
    </row>
    <row r="5" spans="1:11" x14ac:dyDescent="0.4">
      <c r="A5" s="5"/>
      <c r="B5" s="5"/>
      <c r="C5" s="1" t="s">
        <v>7</v>
      </c>
      <c r="D5" s="5"/>
      <c r="E5" s="5"/>
      <c r="F5" s="5"/>
      <c r="H5" s="8" t="s">
        <v>58</v>
      </c>
      <c r="I5" s="8" t="s">
        <v>63</v>
      </c>
      <c r="J5" s="9">
        <v>9800</v>
      </c>
      <c r="K5" s="5"/>
    </row>
    <row r="6" spans="1:11" x14ac:dyDescent="0.4">
      <c r="A6" s="5"/>
      <c r="B6" s="5"/>
      <c r="C6" s="7" t="s">
        <v>4</v>
      </c>
      <c r="D6" s="7" t="s">
        <v>9</v>
      </c>
      <c r="E6" s="7" t="s">
        <v>10</v>
      </c>
      <c r="F6" s="5"/>
      <c r="H6" s="8" t="s">
        <v>59</v>
      </c>
      <c r="I6" s="8" t="s">
        <v>64</v>
      </c>
      <c r="J6" s="9">
        <v>8500</v>
      </c>
      <c r="K6" s="5"/>
    </row>
    <row r="7" spans="1:11" x14ac:dyDescent="0.4">
      <c r="A7" s="5"/>
      <c r="B7" s="5"/>
      <c r="C7" s="10" t="s">
        <v>12</v>
      </c>
      <c r="D7" s="10" t="s">
        <v>13</v>
      </c>
      <c r="E7" s="8">
        <f>DSUM(B12:H52,E12,C6:D7)</f>
        <v>71</v>
      </c>
      <c r="F7" s="11"/>
      <c r="H7" s="8" t="s">
        <v>60</v>
      </c>
      <c r="I7" s="8" t="s">
        <v>65</v>
      </c>
      <c r="J7" s="9">
        <v>25000</v>
      </c>
      <c r="K7" s="5"/>
    </row>
    <row r="8" spans="1:1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4">
      <c r="A9" s="5"/>
      <c r="B9" s="5"/>
      <c r="C9" s="5"/>
      <c r="D9" s="5"/>
      <c r="E9" s="5"/>
      <c r="F9" s="5"/>
      <c r="G9" s="5"/>
      <c r="H9" s="5"/>
      <c r="I9" s="5"/>
      <c r="J9" s="5"/>
      <c r="K9" s="5"/>
    </row>
    <row r="10" spans="1:11" x14ac:dyDescent="0.4">
      <c r="A10" s="5"/>
      <c r="B10" s="5"/>
      <c r="C10" s="5"/>
      <c r="D10" s="5"/>
      <c r="E10" s="5"/>
      <c r="F10" s="5"/>
      <c r="G10" s="12" t="s">
        <v>15</v>
      </c>
      <c r="H10" s="23">
        <v>42734</v>
      </c>
      <c r="I10" s="13"/>
      <c r="J10" s="5"/>
      <c r="K10" s="5"/>
    </row>
    <row r="11" spans="1:11" x14ac:dyDescent="0.4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 x14ac:dyDescent="0.4">
      <c r="A12" s="5"/>
      <c r="B12" s="25" t="s">
        <v>3</v>
      </c>
      <c r="C12" s="25" t="s">
        <v>4</v>
      </c>
      <c r="D12" s="25" t="s">
        <v>9</v>
      </c>
      <c r="E12" s="25" t="s">
        <v>16</v>
      </c>
      <c r="F12" s="25" t="s">
        <v>5</v>
      </c>
      <c r="G12" s="25" t="s">
        <v>17</v>
      </c>
      <c r="H12" s="26" t="s">
        <v>18</v>
      </c>
      <c r="I12" s="5"/>
      <c r="J12" s="5"/>
      <c r="K12" s="5"/>
    </row>
    <row r="13" spans="1:11" x14ac:dyDescent="0.4">
      <c r="A13" s="5"/>
      <c r="B13" s="27" t="s">
        <v>19</v>
      </c>
      <c r="C13" s="27" t="str">
        <f>VLOOKUP($B13,$H$3:$J$7,2,FALSE)</f>
        <v>セーター</v>
      </c>
      <c r="D13" s="27" t="s">
        <v>20</v>
      </c>
      <c r="E13" s="27">
        <v>35</v>
      </c>
      <c r="F13" s="45">
        <f>VLOOKUP($B13,$H$3:$J$7,3,FALSE)</f>
        <v>8900</v>
      </c>
      <c r="G13" s="29">
        <f>IF(OR(D13="今井",D13="川島"),10%,5%)</f>
        <v>0.1</v>
      </c>
      <c r="H13" s="30">
        <f>E13*F13*(1-G13)</f>
        <v>280350</v>
      </c>
      <c r="I13" s="5"/>
      <c r="J13" s="5"/>
      <c r="K13" s="5"/>
    </row>
    <row r="14" spans="1:11" x14ac:dyDescent="0.4">
      <c r="A14" s="5"/>
      <c r="B14" s="31" t="s">
        <v>21</v>
      </c>
      <c r="C14" s="31" t="str">
        <f t="shared" ref="C14:C52" si="0">VLOOKUP($B14,$H$3:$J$7,2,FALSE)</f>
        <v>ジャケット</v>
      </c>
      <c r="D14" s="31" t="s">
        <v>20</v>
      </c>
      <c r="E14" s="31">
        <v>17</v>
      </c>
      <c r="F14" s="32">
        <f t="shared" ref="F14:F52" si="1">VLOOKUP($B14,$H$3:$J$7,3,FALSE)</f>
        <v>15000</v>
      </c>
      <c r="G14" s="33">
        <f t="shared" ref="G14:G52" si="2">IF(OR(D14="今井",D14="川島"),10%,5%)</f>
        <v>0.1</v>
      </c>
      <c r="H14" s="34">
        <f t="shared" ref="H14:H52" si="3">E14*F14*(1-G14)</f>
        <v>229500</v>
      </c>
      <c r="I14" s="5"/>
      <c r="J14" s="5"/>
      <c r="K14" s="5"/>
    </row>
    <row r="15" spans="1:11" x14ac:dyDescent="0.4">
      <c r="A15" s="5"/>
      <c r="B15" s="27" t="s">
        <v>22</v>
      </c>
      <c r="C15" s="27" t="str">
        <f t="shared" si="0"/>
        <v>パンツ</v>
      </c>
      <c r="D15" s="27" t="s">
        <v>23</v>
      </c>
      <c r="E15" s="27">
        <v>38</v>
      </c>
      <c r="F15" s="28">
        <f t="shared" si="1"/>
        <v>9800</v>
      </c>
      <c r="G15" s="29">
        <f t="shared" si="2"/>
        <v>0.1</v>
      </c>
      <c r="H15" s="30">
        <f t="shared" si="3"/>
        <v>335160</v>
      </c>
      <c r="I15" s="5"/>
      <c r="J15" s="5"/>
      <c r="K15" s="5"/>
    </row>
    <row r="16" spans="1:11" x14ac:dyDescent="0.4">
      <c r="A16" s="5"/>
      <c r="B16" s="31" t="s">
        <v>24</v>
      </c>
      <c r="C16" s="31" t="str">
        <f t="shared" si="0"/>
        <v>スカート</v>
      </c>
      <c r="D16" s="31" t="s">
        <v>20</v>
      </c>
      <c r="E16" s="31">
        <v>16</v>
      </c>
      <c r="F16" s="32">
        <f t="shared" si="1"/>
        <v>8500</v>
      </c>
      <c r="G16" s="33">
        <f t="shared" si="2"/>
        <v>0.1</v>
      </c>
      <c r="H16" s="34">
        <f t="shared" si="3"/>
        <v>122400</v>
      </c>
      <c r="I16" s="5"/>
      <c r="J16" s="5"/>
      <c r="K16" s="5"/>
    </row>
    <row r="17" spans="1:11" x14ac:dyDescent="0.4">
      <c r="A17" s="5"/>
      <c r="B17" s="27" t="s">
        <v>19</v>
      </c>
      <c r="C17" s="27" t="str">
        <f t="shared" si="0"/>
        <v>セーター</v>
      </c>
      <c r="D17" s="27" t="s">
        <v>25</v>
      </c>
      <c r="E17" s="27">
        <v>25</v>
      </c>
      <c r="F17" s="28">
        <f t="shared" si="1"/>
        <v>8900</v>
      </c>
      <c r="G17" s="29">
        <f t="shared" si="2"/>
        <v>0.05</v>
      </c>
      <c r="H17" s="30">
        <f t="shared" si="3"/>
        <v>211375</v>
      </c>
      <c r="I17" s="5"/>
      <c r="J17" s="5"/>
      <c r="K17" s="5"/>
    </row>
    <row r="18" spans="1:11" x14ac:dyDescent="0.4">
      <c r="A18" s="5"/>
      <c r="B18" s="31" t="s">
        <v>22</v>
      </c>
      <c r="C18" s="31" t="str">
        <f t="shared" si="0"/>
        <v>パンツ</v>
      </c>
      <c r="D18" s="31" t="s">
        <v>23</v>
      </c>
      <c r="E18" s="31">
        <v>48</v>
      </c>
      <c r="F18" s="32">
        <f t="shared" si="1"/>
        <v>9800</v>
      </c>
      <c r="G18" s="33">
        <f t="shared" si="2"/>
        <v>0.1</v>
      </c>
      <c r="H18" s="34">
        <f t="shared" si="3"/>
        <v>423360</v>
      </c>
      <c r="I18" s="5"/>
      <c r="J18" s="5"/>
      <c r="K18" s="5"/>
    </row>
    <row r="19" spans="1:11" x14ac:dyDescent="0.4">
      <c r="A19" s="5"/>
      <c r="B19" s="27" t="s">
        <v>21</v>
      </c>
      <c r="C19" s="27" t="str">
        <f t="shared" si="0"/>
        <v>ジャケット</v>
      </c>
      <c r="D19" s="27" t="s">
        <v>26</v>
      </c>
      <c r="E19" s="27">
        <v>24</v>
      </c>
      <c r="F19" s="28">
        <f t="shared" si="1"/>
        <v>15000</v>
      </c>
      <c r="G19" s="29">
        <f t="shared" si="2"/>
        <v>0.05</v>
      </c>
      <c r="H19" s="30">
        <f t="shared" si="3"/>
        <v>342000</v>
      </c>
      <c r="I19" s="5"/>
      <c r="J19" s="5"/>
      <c r="K19" s="5"/>
    </row>
    <row r="20" spans="1:11" x14ac:dyDescent="0.4">
      <c r="A20" s="5"/>
      <c r="B20" s="31" t="s">
        <v>22</v>
      </c>
      <c r="C20" s="31" t="str">
        <f t="shared" si="0"/>
        <v>パンツ</v>
      </c>
      <c r="D20" s="31" t="s">
        <v>23</v>
      </c>
      <c r="E20" s="31">
        <v>32</v>
      </c>
      <c r="F20" s="32">
        <f t="shared" si="1"/>
        <v>9800</v>
      </c>
      <c r="G20" s="33">
        <f t="shared" si="2"/>
        <v>0.1</v>
      </c>
      <c r="H20" s="34">
        <f t="shared" si="3"/>
        <v>282240</v>
      </c>
      <c r="I20" s="5"/>
      <c r="J20" s="5"/>
      <c r="K20" s="5"/>
    </row>
    <row r="21" spans="1:11" x14ac:dyDescent="0.4">
      <c r="A21" s="5"/>
      <c r="B21" s="27" t="s">
        <v>24</v>
      </c>
      <c r="C21" s="27" t="str">
        <f t="shared" si="0"/>
        <v>スカート</v>
      </c>
      <c r="D21" s="27" t="s">
        <v>25</v>
      </c>
      <c r="E21" s="27">
        <v>18</v>
      </c>
      <c r="F21" s="28">
        <f t="shared" si="1"/>
        <v>8500</v>
      </c>
      <c r="G21" s="29">
        <f t="shared" si="2"/>
        <v>0.05</v>
      </c>
      <c r="H21" s="30">
        <f t="shared" si="3"/>
        <v>145350</v>
      </c>
      <c r="I21" s="5"/>
      <c r="J21" s="5"/>
      <c r="K21" s="5"/>
    </row>
    <row r="22" spans="1:11" x14ac:dyDescent="0.4">
      <c r="A22" s="5"/>
      <c r="B22" s="31" t="s">
        <v>19</v>
      </c>
      <c r="C22" s="31" t="str">
        <f t="shared" si="0"/>
        <v>セーター</v>
      </c>
      <c r="D22" s="31" t="s">
        <v>23</v>
      </c>
      <c r="E22" s="31">
        <v>13</v>
      </c>
      <c r="F22" s="32">
        <f t="shared" si="1"/>
        <v>8900</v>
      </c>
      <c r="G22" s="33">
        <f t="shared" si="2"/>
        <v>0.1</v>
      </c>
      <c r="H22" s="34">
        <f t="shared" si="3"/>
        <v>104130</v>
      </c>
      <c r="I22" s="5"/>
      <c r="J22" s="5"/>
      <c r="K22" s="5"/>
    </row>
    <row r="23" spans="1:11" x14ac:dyDescent="0.4">
      <c r="A23" s="5"/>
      <c r="B23" s="27" t="s">
        <v>27</v>
      </c>
      <c r="C23" s="27" t="str">
        <f t="shared" si="0"/>
        <v>コート</v>
      </c>
      <c r="D23" s="27" t="s">
        <v>25</v>
      </c>
      <c r="E23" s="27">
        <v>12</v>
      </c>
      <c r="F23" s="28">
        <f t="shared" si="1"/>
        <v>25000</v>
      </c>
      <c r="G23" s="29">
        <f t="shared" si="2"/>
        <v>0.05</v>
      </c>
      <c r="H23" s="30">
        <f t="shared" si="3"/>
        <v>285000</v>
      </c>
      <c r="I23" s="5"/>
      <c r="J23" s="5"/>
      <c r="K23" s="5"/>
    </row>
    <row r="24" spans="1:11" x14ac:dyDescent="0.4">
      <c r="A24" s="5"/>
      <c r="B24" s="31" t="s">
        <v>21</v>
      </c>
      <c r="C24" s="31" t="str">
        <f t="shared" si="0"/>
        <v>ジャケット</v>
      </c>
      <c r="D24" s="31" t="s">
        <v>20</v>
      </c>
      <c r="E24" s="31">
        <v>8</v>
      </c>
      <c r="F24" s="32">
        <f t="shared" si="1"/>
        <v>15000</v>
      </c>
      <c r="G24" s="33">
        <f t="shared" si="2"/>
        <v>0.1</v>
      </c>
      <c r="H24" s="34">
        <f t="shared" si="3"/>
        <v>108000</v>
      </c>
      <c r="I24" s="5"/>
      <c r="J24" s="5"/>
      <c r="K24" s="5"/>
    </row>
    <row r="25" spans="1:11" x14ac:dyDescent="0.4">
      <c r="A25" s="5"/>
      <c r="B25" s="27" t="s">
        <v>22</v>
      </c>
      <c r="C25" s="27" t="str">
        <f t="shared" si="0"/>
        <v>パンツ</v>
      </c>
      <c r="D25" s="27" t="s">
        <v>26</v>
      </c>
      <c r="E25" s="27">
        <v>15</v>
      </c>
      <c r="F25" s="28">
        <f t="shared" si="1"/>
        <v>9800</v>
      </c>
      <c r="G25" s="29">
        <f t="shared" si="2"/>
        <v>0.05</v>
      </c>
      <c r="H25" s="30">
        <f t="shared" si="3"/>
        <v>139650</v>
      </c>
      <c r="I25" s="5"/>
      <c r="J25" s="5"/>
      <c r="K25" s="5"/>
    </row>
    <row r="26" spans="1:11" x14ac:dyDescent="0.4">
      <c r="A26" s="5"/>
      <c r="B26" s="31" t="s">
        <v>24</v>
      </c>
      <c r="C26" s="31" t="str">
        <f t="shared" si="0"/>
        <v>スカート</v>
      </c>
      <c r="D26" s="31" t="s">
        <v>25</v>
      </c>
      <c r="E26" s="31">
        <v>14</v>
      </c>
      <c r="F26" s="32">
        <f t="shared" si="1"/>
        <v>8500</v>
      </c>
      <c r="G26" s="33">
        <f t="shared" si="2"/>
        <v>0.05</v>
      </c>
      <c r="H26" s="34">
        <f t="shared" si="3"/>
        <v>113050</v>
      </c>
      <c r="I26" s="5"/>
      <c r="J26" s="5"/>
      <c r="K26" s="5"/>
    </row>
    <row r="27" spans="1:11" x14ac:dyDescent="0.4">
      <c r="A27" s="5"/>
      <c r="B27" s="27" t="s">
        <v>27</v>
      </c>
      <c r="C27" s="27" t="str">
        <f t="shared" si="0"/>
        <v>コート</v>
      </c>
      <c r="D27" s="27" t="s">
        <v>25</v>
      </c>
      <c r="E27" s="27">
        <v>18</v>
      </c>
      <c r="F27" s="28">
        <f t="shared" si="1"/>
        <v>25000</v>
      </c>
      <c r="G27" s="29">
        <f t="shared" si="2"/>
        <v>0.05</v>
      </c>
      <c r="H27" s="30">
        <f t="shared" si="3"/>
        <v>427500</v>
      </c>
      <c r="I27" s="5"/>
      <c r="J27" s="5"/>
      <c r="K27" s="5"/>
    </row>
    <row r="28" spans="1:11" x14ac:dyDescent="0.4">
      <c r="A28" s="5"/>
      <c r="B28" s="31" t="s">
        <v>21</v>
      </c>
      <c r="C28" s="31" t="str">
        <f t="shared" si="0"/>
        <v>ジャケット</v>
      </c>
      <c r="D28" s="31" t="s">
        <v>23</v>
      </c>
      <c r="E28" s="31">
        <v>32</v>
      </c>
      <c r="F28" s="32">
        <f t="shared" si="1"/>
        <v>15000</v>
      </c>
      <c r="G28" s="33">
        <f t="shared" si="2"/>
        <v>0.1</v>
      </c>
      <c r="H28" s="34">
        <f t="shared" si="3"/>
        <v>432000</v>
      </c>
      <c r="I28" s="5"/>
      <c r="J28" s="5"/>
      <c r="K28" s="5"/>
    </row>
    <row r="29" spans="1:11" x14ac:dyDescent="0.4">
      <c r="A29" s="5"/>
      <c r="B29" s="27" t="s">
        <v>19</v>
      </c>
      <c r="C29" s="27" t="str">
        <f t="shared" si="0"/>
        <v>セーター</v>
      </c>
      <c r="D29" s="27" t="s">
        <v>20</v>
      </c>
      <c r="E29" s="27">
        <v>36</v>
      </c>
      <c r="F29" s="28">
        <f t="shared" si="1"/>
        <v>8900</v>
      </c>
      <c r="G29" s="29">
        <f t="shared" si="2"/>
        <v>0.1</v>
      </c>
      <c r="H29" s="30">
        <f t="shared" si="3"/>
        <v>288360</v>
      </c>
      <c r="I29" s="5"/>
      <c r="J29" s="5"/>
      <c r="K29" s="5"/>
    </row>
    <row r="30" spans="1:11" x14ac:dyDescent="0.4">
      <c r="A30" s="5"/>
      <c r="B30" s="31" t="s">
        <v>22</v>
      </c>
      <c r="C30" s="31" t="str">
        <f t="shared" si="0"/>
        <v>パンツ</v>
      </c>
      <c r="D30" s="31" t="s">
        <v>25</v>
      </c>
      <c r="E30" s="31">
        <v>26</v>
      </c>
      <c r="F30" s="32">
        <f t="shared" si="1"/>
        <v>9800</v>
      </c>
      <c r="G30" s="33">
        <f t="shared" si="2"/>
        <v>0.05</v>
      </c>
      <c r="H30" s="34">
        <f t="shared" si="3"/>
        <v>242060</v>
      </c>
      <c r="I30" s="5"/>
      <c r="J30" s="5"/>
      <c r="K30" s="5"/>
    </row>
    <row r="31" spans="1:11" x14ac:dyDescent="0.4">
      <c r="A31" s="5"/>
      <c r="B31" s="27" t="s">
        <v>24</v>
      </c>
      <c r="C31" s="27" t="str">
        <f t="shared" si="0"/>
        <v>スカート</v>
      </c>
      <c r="D31" s="27" t="s">
        <v>26</v>
      </c>
      <c r="E31" s="27">
        <v>28</v>
      </c>
      <c r="F31" s="28">
        <f t="shared" si="1"/>
        <v>8500</v>
      </c>
      <c r="G31" s="29">
        <f t="shared" si="2"/>
        <v>0.05</v>
      </c>
      <c r="H31" s="30">
        <f t="shared" si="3"/>
        <v>226100</v>
      </c>
      <c r="I31" s="5"/>
      <c r="J31" s="5"/>
      <c r="K31" s="5"/>
    </row>
    <row r="32" spans="1:11" x14ac:dyDescent="0.4">
      <c r="A32" s="5"/>
      <c r="B32" s="31" t="s">
        <v>27</v>
      </c>
      <c r="C32" s="31" t="str">
        <f t="shared" si="0"/>
        <v>コート</v>
      </c>
      <c r="D32" s="31" t="s">
        <v>26</v>
      </c>
      <c r="E32" s="31">
        <v>16</v>
      </c>
      <c r="F32" s="32">
        <f t="shared" si="1"/>
        <v>25000</v>
      </c>
      <c r="G32" s="33">
        <f t="shared" si="2"/>
        <v>0.05</v>
      </c>
      <c r="H32" s="34">
        <f t="shared" si="3"/>
        <v>380000</v>
      </c>
      <c r="I32" s="5"/>
      <c r="J32" s="5"/>
      <c r="K32" s="5"/>
    </row>
    <row r="33" spans="1:11" x14ac:dyDescent="0.4">
      <c r="A33" s="5"/>
      <c r="B33" s="27" t="s">
        <v>28</v>
      </c>
      <c r="C33" s="27" t="str">
        <f t="shared" si="0"/>
        <v>パンツ</v>
      </c>
      <c r="D33" s="27" t="s">
        <v>20</v>
      </c>
      <c r="E33" s="27">
        <v>22</v>
      </c>
      <c r="F33" s="28">
        <f t="shared" si="1"/>
        <v>9800</v>
      </c>
      <c r="G33" s="29">
        <f t="shared" si="2"/>
        <v>0.1</v>
      </c>
      <c r="H33" s="30">
        <f t="shared" si="3"/>
        <v>194040</v>
      </c>
      <c r="I33" s="5"/>
      <c r="J33" s="5"/>
      <c r="K33" s="5"/>
    </row>
    <row r="34" spans="1:11" x14ac:dyDescent="0.4">
      <c r="A34" s="5"/>
      <c r="B34" s="31" t="s">
        <v>31</v>
      </c>
      <c r="C34" s="31" t="str">
        <f t="shared" si="0"/>
        <v>セーター</v>
      </c>
      <c r="D34" s="31" t="s">
        <v>23</v>
      </c>
      <c r="E34" s="31">
        <v>30</v>
      </c>
      <c r="F34" s="32">
        <f t="shared" si="1"/>
        <v>8900</v>
      </c>
      <c r="G34" s="33">
        <f t="shared" si="2"/>
        <v>0.1</v>
      </c>
      <c r="H34" s="34">
        <f t="shared" si="3"/>
        <v>240300</v>
      </c>
      <c r="I34" s="5"/>
      <c r="J34" s="5"/>
      <c r="K34" s="5"/>
    </row>
    <row r="35" spans="1:11" x14ac:dyDescent="0.4">
      <c r="A35" s="5"/>
      <c r="B35" s="27" t="s">
        <v>36</v>
      </c>
      <c r="C35" s="27" t="str">
        <f t="shared" si="0"/>
        <v>コート</v>
      </c>
      <c r="D35" s="27" t="s">
        <v>20</v>
      </c>
      <c r="E35" s="27">
        <v>8</v>
      </c>
      <c r="F35" s="28">
        <f t="shared" si="1"/>
        <v>25000</v>
      </c>
      <c r="G35" s="29">
        <f t="shared" si="2"/>
        <v>0.1</v>
      </c>
      <c r="H35" s="30">
        <f t="shared" si="3"/>
        <v>180000</v>
      </c>
      <c r="I35" s="5"/>
      <c r="J35" s="5"/>
      <c r="K35" s="5"/>
    </row>
    <row r="36" spans="1:11" x14ac:dyDescent="0.4">
      <c r="A36" s="5"/>
      <c r="B36" s="31" t="s">
        <v>29</v>
      </c>
      <c r="C36" s="31" t="str">
        <f t="shared" si="0"/>
        <v>ジャケット</v>
      </c>
      <c r="D36" s="31" t="s">
        <v>25</v>
      </c>
      <c r="E36" s="31">
        <v>42</v>
      </c>
      <c r="F36" s="32">
        <f t="shared" si="1"/>
        <v>15000</v>
      </c>
      <c r="G36" s="33">
        <f t="shared" si="2"/>
        <v>0.05</v>
      </c>
      <c r="H36" s="34">
        <f t="shared" si="3"/>
        <v>598500</v>
      </c>
      <c r="I36" s="5"/>
      <c r="J36" s="5"/>
      <c r="K36" s="5"/>
    </row>
    <row r="37" spans="1:11" x14ac:dyDescent="0.4">
      <c r="A37" s="5"/>
      <c r="B37" s="27" t="s">
        <v>32</v>
      </c>
      <c r="C37" s="27" t="str">
        <f t="shared" si="0"/>
        <v>スカート</v>
      </c>
      <c r="D37" s="27" t="s">
        <v>20</v>
      </c>
      <c r="E37" s="27">
        <v>15</v>
      </c>
      <c r="F37" s="28">
        <f t="shared" si="1"/>
        <v>8500</v>
      </c>
      <c r="G37" s="29">
        <f t="shared" si="2"/>
        <v>0.1</v>
      </c>
      <c r="H37" s="30">
        <f t="shared" si="3"/>
        <v>114750</v>
      </c>
      <c r="I37" s="5"/>
      <c r="J37" s="5"/>
      <c r="K37" s="5"/>
    </row>
    <row r="38" spans="1:11" x14ac:dyDescent="0.4">
      <c r="A38" s="5"/>
      <c r="B38" s="31" t="s">
        <v>31</v>
      </c>
      <c r="C38" s="31" t="str">
        <f t="shared" si="0"/>
        <v>セーター</v>
      </c>
      <c r="D38" s="31" t="s">
        <v>26</v>
      </c>
      <c r="E38" s="31">
        <v>17</v>
      </c>
      <c r="F38" s="32">
        <f t="shared" si="1"/>
        <v>8900</v>
      </c>
      <c r="G38" s="33">
        <f t="shared" si="2"/>
        <v>0.05</v>
      </c>
      <c r="H38" s="34">
        <f t="shared" si="3"/>
        <v>143735</v>
      </c>
      <c r="I38" s="5"/>
      <c r="J38" s="5"/>
      <c r="K38" s="5"/>
    </row>
    <row r="39" spans="1:11" x14ac:dyDescent="0.4">
      <c r="A39" s="5"/>
      <c r="B39" s="27" t="s">
        <v>31</v>
      </c>
      <c r="C39" s="27" t="str">
        <f t="shared" si="0"/>
        <v>セーター</v>
      </c>
      <c r="D39" s="27" t="s">
        <v>25</v>
      </c>
      <c r="E39" s="27">
        <v>16</v>
      </c>
      <c r="F39" s="28">
        <f t="shared" si="1"/>
        <v>8900</v>
      </c>
      <c r="G39" s="29">
        <f t="shared" si="2"/>
        <v>0.05</v>
      </c>
      <c r="H39" s="30">
        <f t="shared" si="3"/>
        <v>135280</v>
      </c>
      <c r="I39" s="5"/>
      <c r="J39" s="5"/>
      <c r="K39" s="5"/>
    </row>
    <row r="40" spans="1:11" x14ac:dyDescent="0.4">
      <c r="A40" s="5"/>
      <c r="B40" s="31" t="s">
        <v>36</v>
      </c>
      <c r="C40" s="31" t="str">
        <f t="shared" si="0"/>
        <v>コート</v>
      </c>
      <c r="D40" s="31" t="s">
        <v>26</v>
      </c>
      <c r="E40" s="31">
        <v>10</v>
      </c>
      <c r="F40" s="32">
        <f t="shared" si="1"/>
        <v>25000</v>
      </c>
      <c r="G40" s="33">
        <f t="shared" si="2"/>
        <v>0.05</v>
      </c>
      <c r="H40" s="34">
        <f t="shared" si="3"/>
        <v>237500</v>
      </c>
      <c r="I40" s="5"/>
      <c r="J40" s="5"/>
      <c r="K40" s="5"/>
    </row>
    <row r="41" spans="1:11" x14ac:dyDescent="0.4">
      <c r="A41" s="5"/>
      <c r="B41" s="27" t="s">
        <v>30</v>
      </c>
      <c r="C41" s="27" t="str">
        <f t="shared" si="0"/>
        <v>スカート</v>
      </c>
      <c r="D41" s="27" t="s">
        <v>23</v>
      </c>
      <c r="E41" s="27">
        <v>26</v>
      </c>
      <c r="F41" s="28">
        <f t="shared" si="1"/>
        <v>8500</v>
      </c>
      <c r="G41" s="29">
        <f t="shared" si="2"/>
        <v>0.1</v>
      </c>
      <c r="H41" s="30">
        <f t="shared" si="3"/>
        <v>198900</v>
      </c>
      <c r="I41" s="5"/>
      <c r="J41" s="5"/>
      <c r="K41" s="5"/>
    </row>
    <row r="42" spans="1:11" x14ac:dyDescent="0.4">
      <c r="A42" s="5"/>
      <c r="B42" s="31" t="s">
        <v>29</v>
      </c>
      <c r="C42" s="31" t="str">
        <f t="shared" si="0"/>
        <v>ジャケット</v>
      </c>
      <c r="D42" s="31" t="s">
        <v>23</v>
      </c>
      <c r="E42" s="31">
        <v>9</v>
      </c>
      <c r="F42" s="32">
        <f t="shared" si="1"/>
        <v>15000</v>
      </c>
      <c r="G42" s="33">
        <f t="shared" si="2"/>
        <v>0.1</v>
      </c>
      <c r="H42" s="34">
        <f t="shared" si="3"/>
        <v>121500</v>
      </c>
      <c r="I42" s="5"/>
      <c r="J42" s="5"/>
      <c r="K42" s="5"/>
    </row>
    <row r="43" spans="1:11" x14ac:dyDescent="0.4">
      <c r="A43" s="5"/>
      <c r="B43" s="27" t="s">
        <v>32</v>
      </c>
      <c r="C43" s="27" t="str">
        <f t="shared" si="0"/>
        <v>スカート</v>
      </c>
      <c r="D43" s="27" t="s">
        <v>25</v>
      </c>
      <c r="E43" s="27">
        <v>12</v>
      </c>
      <c r="F43" s="28">
        <f t="shared" si="1"/>
        <v>8500</v>
      </c>
      <c r="G43" s="29">
        <f t="shared" si="2"/>
        <v>0.05</v>
      </c>
      <c r="H43" s="30">
        <f t="shared" si="3"/>
        <v>96900</v>
      </c>
      <c r="I43" s="5"/>
      <c r="J43" s="5"/>
      <c r="K43" s="5"/>
    </row>
    <row r="44" spans="1:11" x14ac:dyDescent="0.4">
      <c r="A44" s="5"/>
      <c r="B44" s="31" t="s">
        <v>28</v>
      </c>
      <c r="C44" s="31" t="str">
        <f t="shared" si="0"/>
        <v>パンツ</v>
      </c>
      <c r="D44" s="31" t="s">
        <v>26</v>
      </c>
      <c r="E44" s="31">
        <v>25</v>
      </c>
      <c r="F44" s="32">
        <f t="shared" si="1"/>
        <v>9800</v>
      </c>
      <c r="G44" s="33">
        <f t="shared" si="2"/>
        <v>0.05</v>
      </c>
      <c r="H44" s="34">
        <f t="shared" si="3"/>
        <v>232750</v>
      </c>
      <c r="I44" s="5"/>
      <c r="J44" s="5"/>
      <c r="K44" s="5"/>
    </row>
    <row r="45" spans="1:11" x14ac:dyDescent="0.4">
      <c r="A45" s="5"/>
      <c r="B45" s="27" t="s">
        <v>35</v>
      </c>
      <c r="C45" s="27" t="str">
        <f t="shared" si="0"/>
        <v>ジャケット</v>
      </c>
      <c r="D45" s="27" t="s">
        <v>26</v>
      </c>
      <c r="E45" s="27">
        <v>14</v>
      </c>
      <c r="F45" s="28">
        <f t="shared" si="1"/>
        <v>15000</v>
      </c>
      <c r="G45" s="29">
        <f t="shared" si="2"/>
        <v>0.05</v>
      </c>
      <c r="H45" s="30">
        <f t="shared" si="3"/>
        <v>199500</v>
      </c>
      <c r="I45" s="5"/>
      <c r="J45" s="5"/>
      <c r="K45" s="5"/>
    </row>
    <row r="46" spans="1:11" x14ac:dyDescent="0.4">
      <c r="A46" s="5"/>
      <c r="B46" s="31" t="s">
        <v>32</v>
      </c>
      <c r="C46" s="31" t="str">
        <f t="shared" si="0"/>
        <v>スカート</v>
      </c>
      <c r="D46" s="31" t="s">
        <v>13</v>
      </c>
      <c r="E46" s="31">
        <v>34</v>
      </c>
      <c r="F46" s="32">
        <f t="shared" si="1"/>
        <v>8500</v>
      </c>
      <c r="G46" s="33">
        <f t="shared" si="2"/>
        <v>0.1</v>
      </c>
      <c r="H46" s="34">
        <f t="shared" si="3"/>
        <v>260100</v>
      </c>
      <c r="I46" s="5"/>
      <c r="J46" s="5"/>
      <c r="K46" s="5"/>
    </row>
    <row r="47" spans="1:11" x14ac:dyDescent="0.4">
      <c r="A47" s="5"/>
      <c r="B47" s="27" t="s">
        <v>33</v>
      </c>
      <c r="C47" s="27" t="str">
        <f t="shared" si="0"/>
        <v>コート</v>
      </c>
      <c r="D47" s="27" t="s">
        <v>23</v>
      </c>
      <c r="E47" s="27">
        <v>22</v>
      </c>
      <c r="F47" s="28">
        <f t="shared" si="1"/>
        <v>25000</v>
      </c>
      <c r="G47" s="29">
        <f t="shared" si="2"/>
        <v>0.1</v>
      </c>
      <c r="H47" s="30">
        <f t="shared" si="3"/>
        <v>495000</v>
      </c>
      <c r="I47" s="5"/>
      <c r="J47" s="5"/>
      <c r="K47" s="5"/>
    </row>
    <row r="48" spans="1:11" x14ac:dyDescent="0.4">
      <c r="A48" s="5"/>
      <c r="B48" s="31" t="s">
        <v>31</v>
      </c>
      <c r="C48" s="31" t="str">
        <f t="shared" si="0"/>
        <v>セーター</v>
      </c>
      <c r="D48" s="31" t="s">
        <v>25</v>
      </c>
      <c r="E48" s="31">
        <v>28</v>
      </c>
      <c r="F48" s="32">
        <f t="shared" si="1"/>
        <v>8900</v>
      </c>
      <c r="G48" s="33">
        <f t="shared" si="2"/>
        <v>0.05</v>
      </c>
      <c r="H48" s="34">
        <f t="shared" si="3"/>
        <v>236740</v>
      </c>
      <c r="I48" s="5"/>
      <c r="J48" s="5"/>
      <c r="K48" s="5"/>
    </row>
    <row r="49" spans="1:11" x14ac:dyDescent="0.4">
      <c r="A49" s="5"/>
      <c r="B49" s="27" t="s">
        <v>14</v>
      </c>
      <c r="C49" s="27" t="str">
        <f t="shared" si="0"/>
        <v>コート</v>
      </c>
      <c r="D49" s="27" t="s">
        <v>34</v>
      </c>
      <c r="E49" s="27">
        <v>16</v>
      </c>
      <c r="F49" s="28">
        <f t="shared" si="1"/>
        <v>25000</v>
      </c>
      <c r="G49" s="29">
        <f t="shared" si="2"/>
        <v>0.1</v>
      </c>
      <c r="H49" s="30">
        <f t="shared" si="3"/>
        <v>360000</v>
      </c>
      <c r="I49" s="5"/>
      <c r="J49" s="5"/>
      <c r="K49" s="5"/>
    </row>
    <row r="50" spans="1:11" x14ac:dyDescent="0.4">
      <c r="A50" s="5"/>
      <c r="B50" s="31" t="s">
        <v>35</v>
      </c>
      <c r="C50" s="31" t="str">
        <f t="shared" si="0"/>
        <v>ジャケット</v>
      </c>
      <c r="D50" s="31" t="s">
        <v>20</v>
      </c>
      <c r="E50" s="31">
        <v>13</v>
      </c>
      <c r="F50" s="32">
        <f t="shared" si="1"/>
        <v>15000</v>
      </c>
      <c r="G50" s="33">
        <f t="shared" si="2"/>
        <v>0.1</v>
      </c>
      <c r="H50" s="34">
        <f t="shared" si="3"/>
        <v>175500</v>
      </c>
      <c r="I50" s="5"/>
      <c r="J50" s="5"/>
      <c r="K50" s="5"/>
    </row>
    <row r="51" spans="1:11" x14ac:dyDescent="0.4">
      <c r="A51" s="5"/>
      <c r="B51" s="27" t="s">
        <v>28</v>
      </c>
      <c r="C51" s="27" t="str">
        <f t="shared" si="0"/>
        <v>パンツ</v>
      </c>
      <c r="D51" s="27" t="s">
        <v>26</v>
      </c>
      <c r="E51" s="27">
        <v>18</v>
      </c>
      <c r="F51" s="28">
        <f t="shared" si="1"/>
        <v>9800</v>
      </c>
      <c r="G51" s="29">
        <f t="shared" si="2"/>
        <v>0.05</v>
      </c>
      <c r="H51" s="30">
        <f t="shared" si="3"/>
        <v>167580</v>
      </c>
      <c r="I51" s="5"/>
      <c r="J51" s="5"/>
      <c r="K51" s="5"/>
    </row>
    <row r="52" spans="1:11" x14ac:dyDescent="0.4">
      <c r="A52" s="5"/>
      <c r="B52" s="35" t="s">
        <v>14</v>
      </c>
      <c r="C52" s="35" t="str">
        <f t="shared" si="0"/>
        <v>コート</v>
      </c>
      <c r="D52" s="35" t="s">
        <v>26</v>
      </c>
      <c r="E52" s="35">
        <v>24</v>
      </c>
      <c r="F52" s="36">
        <f t="shared" si="1"/>
        <v>25000</v>
      </c>
      <c r="G52" s="37">
        <f t="shared" si="2"/>
        <v>0.05</v>
      </c>
      <c r="H52" s="24">
        <f t="shared" si="3"/>
        <v>570000</v>
      </c>
      <c r="I52" s="5"/>
      <c r="J52" s="5"/>
      <c r="K52" s="5"/>
    </row>
  </sheetData>
  <phoneticPr fontId="2"/>
  <conditionalFormatting sqref="H13:H52">
    <cfRule type="iconSet" priority="1">
      <iconSet iconSet="3Arrows">
        <cfvo type="percent" val="0"/>
        <cfvo type="percent" val="33"/>
        <cfvo type="percent" val="67"/>
      </iconSet>
    </cfRule>
  </conditionalFormatting>
  <dataValidations count="1">
    <dataValidation type="list" errorStyle="warning" allowBlank="1" showInputMessage="1" showErrorMessage="1" error="販売員をリストから選択してください。" prompt="販売員を選択" sqref="D7">
      <formula1>"今井,川島,林,向田"</formula1>
    </dataValidation>
  </dataValidations>
  <pageMargins left="0.7" right="0.7" top="0.75" bottom="0.75" header="0.3" footer="0.3"/>
  <pageSetup paperSize="9" orientation="portrait" horizontalDpi="96" verticalDpi="96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2"/>
  <sheetViews>
    <sheetView showGridLines="0" workbookViewId="0"/>
  </sheetViews>
  <sheetFormatPr defaultRowHeight="18.75" x14ac:dyDescent="0.4"/>
  <cols>
    <col min="1" max="1" width="3.625" style="6" customWidth="1"/>
    <col min="2" max="2" width="8.625" style="6" customWidth="1"/>
    <col min="3" max="3" width="11.625" style="6" customWidth="1"/>
    <col min="4" max="7" width="9" style="6" customWidth="1"/>
    <col min="8" max="8" width="12.75" style="6" customWidth="1"/>
    <col min="9" max="9" width="11.625" style="6" customWidth="1"/>
    <col min="10" max="16384" width="9" style="6"/>
  </cols>
  <sheetData>
    <row r="1" spans="1:11" x14ac:dyDescent="0.4">
      <c r="A1"/>
      <c r="B1"/>
      <c r="C1"/>
      <c r="D1"/>
      <c r="E1"/>
      <c r="F1" s="5"/>
      <c r="H1" s="1" t="s">
        <v>1</v>
      </c>
      <c r="I1" s="5"/>
      <c r="J1" s="5"/>
      <c r="K1" s="5"/>
    </row>
    <row r="2" spans="1:11" x14ac:dyDescent="0.4">
      <c r="A2"/>
      <c r="B2"/>
      <c r="C2"/>
      <c r="D2"/>
      <c r="E2"/>
      <c r="F2" s="5"/>
      <c r="H2" s="7" t="s">
        <v>3</v>
      </c>
      <c r="I2" s="7" t="s">
        <v>4</v>
      </c>
      <c r="J2" s="7" t="s">
        <v>5</v>
      </c>
      <c r="K2" s="5"/>
    </row>
    <row r="3" spans="1:11" x14ac:dyDescent="0.4">
      <c r="A3"/>
      <c r="B3"/>
      <c r="C3"/>
      <c r="D3"/>
      <c r="E3"/>
      <c r="F3" s="5"/>
      <c r="H3" s="8" t="s">
        <v>66</v>
      </c>
      <c r="I3" s="8" t="s">
        <v>61</v>
      </c>
      <c r="J3" s="9">
        <v>8900</v>
      </c>
      <c r="K3" s="5"/>
    </row>
    <row r="4" spans="1:11" x14ac:dyDescent="0.4">
      <c r="A4"/>
      <c r="B4" s="25" t="s">
        <v>3</v>
      </c>
      <c r="C4" s="25" t="s">
        <v>4</v>
      </c>
      <c r="D4" s="25" t="s">
        <v>9</v>
      </c>
      <c r="E4" s="25" t="s">
        <v>16</v>
      </c>
      <c r="F4" s="25" t="s">
        <v>5</v>
      </c>
      <c r="H4" s="8" t="s">
        <v>67</v>
      </c>
      <c r="I4" s="8" t="s">
        <v>68</v>
      </c>
      <c r="J4" s="9">
        <v>15000</v>
      </c>
      <c r="K4" s="5"/>
    </row>
    <row r="5" spans="1:11" x14ac:dyDescent="0.4">
      <c r="A5"/>
      <c r="B5"/>
      <c r="C5" t="s">
        <v>62</v>
      </c>
      <c r="D5"/>
      <c r="E5" t="s">
        <v>75</v>
      </c>
      <c r="F5" s="5"/>
      <c r="H5" s="8" t="s">
        <v>58</v>
      </c>
      <c r="I5" s="8" t="s">
        <v>69</v>
      </c>
      <c r="J5" s="9">
        <v>9800</v>
      </c>
      <c r="K5" s="5"/>
    </row>
    <row r="6" spans="1:11" x14ac:dyDescent="0.4">
      <c r="A6"/>
      <c r="B6"/>
      <c r="C6" t="s">
        <v>73</v>
      </c>
      <c r="D6"/>
      <c r="E6" t="s">
        <v>74</v>
      </c>
      <c r="F6" s="5"/>
      <c r="H6" s="8" t="s">
        <v>70</v>
      </c>
      <c r="I6" s="8" t="s">
        <v>64</v>
      </c>
      <c r="J6" s="9">
        <v>8500</v>
      </c>
      <c r="K6" s="5"/>
    </row>
    <row r="7" spans="1:11" x14ac:dyDescent="0.4">
      <c r="A7"/>
      <c r="B7"/>
      <c r="C7"/>
      <c r="D7"/>
      <c r="E7"/>
      <c r="F7" s="11"/>
      <c r="H7" s="8" t="s">
        <v>60</v>
      </c>
      <c r="I7" s="8" t="s">
        <v>71</v>
      </c>
      <c r="J7" s="9">
        <v>25000</v>
      </c>
      <c r="K7" s="5"/>
    </row>
    <row r="8" spans="1:11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4">
      <c r="A9" s="5"/>
      <c r="B9" s="5"/>
      <c r="C9" s="5"/>
      <c r="D9" s="5"/>
      <c r="E9" s="5"/>
      <c r="F9" s="5"/>
      <c r="G9" s="5"/>
      <c r="H9" s="5"/>
      <c r="I9" s="5"/>
      <c r="J9" s="5"/>
      <c r="K9" s="5"/>
    </row>
    <row r="10" spans="1:11" x14ac:dyDescent="0.4">
      <c r="A10" s="5"/>
      <c r="B10" s="5"/>
      <c r="C10" s="5"/>
      <c r="D10" s="5"/>
      <c r="E10" s="5"/>
      <c r="F10" s="5"/>
      <c r="G10" s="12" t="s">
        <v>15</v>
      </c>
      <c r="H10" s="23">
        <v>42734</v>
      </c>
      <c r="I10" s="13"/>
      <c r="J10" s="5"/>
      <c r="K10" s="5"/>
    </row>
    <row r="11" spans="1:11" x14ac:dyDescent="0.4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 x14ac:dyDescent="0.4">
      <c r="A12" s="5"/>
      <c r="B12" s="25" t="s">
        <v>3</v>
      </c>
      <c r="C12" s="25" t="s">
        <v>4</v>
      </c>
      <c r="D12" s="25" t="s">
        <v>9</v>
      </c>
      <c r="E12" s="25" t="s">
        <v>16</v>
      </c>
      <c r="F12" s="25" t="s">
        <v>5</v>
      </c>
      <c r="G12" s="25" t="s">
        <v>17</v>
      </c>
      <c r="H12" s="26" t="s">
        <v>18</v>
      </c>
      <c r="I12" s="5"/>
      <c r="J12" s="5"/>
      <c r="K12" s="5"/>
    </row>
    <row r="13" spans="1:11" x14ac:dyDescent="0.4">
      <c r="A13" s="5"/>
      <c r="B13" s="27" t="s">
        <v>19</v>
      </c>
      <c r="C13" s="27" t="str">
        <f t="shared" ref="C13:C52" si="0">VLOOKUP(B13,$H$3:$J$7,2,FALSE)</f>
        <v>セーター</v>
      </c>
      <c r="D13" s="27" t="s">
        <v>20</v>
      </c>
      <c r="E13" s="27">
        <v>35</v>
      </c>
      <c r="F13" s="28">
        <f t="shared" ref="F13:F52" si="1">VLOOKUP(B13,$H$3:$J$7,3,FALSE)</f>
        <v>8900</v>
      </c>
      <c r="G13" s="29">
        <f>IF(OR(D13="今井",D13="川島"),10%,5%)</f>
        <v>0.1</v>
      </c>
      <c r="H13" s="30">
        <f>E13*F13*(1-G13)</f>
        <v>280350</v>
      </c>
      <c r="I13" s="5"/>
      <c r="J13" s="5"/>
      <c r="K13" s="5"/>
    </row>
    <row r="14" spans="1:11" x14ac:dyDescent="0.4">
      <c r="A14" s="5"/>
      <c r="B14" s="31" t="s">
        <v>21</v>
      </c>
      <c r="C14" s="31" t="str">
        <f t="shared" si="0"/>
        <v>ジャケット</v>
      </c>
      <c r="D14" s="31" t="s">
        <v>20</v>
      </c>
      <c r="E14" s="31">
        <v>17</v>
      </c>
      <c r="F14" s="32">
        <f t="shared" si="1"/>
        <v>15000</v>
      </c>
      <c r="G14" s="33">
        <f t="shared" ref="G14:G52" si="2">IF(OR(D14="今井",D14="川島"),10%,5%)</f>
        <v>0.1</v>
      </c>
      <c r="H14" s="34">
        <f t="shared" ref="H14:H52" si="3">E14*F14*(1-G14)</f>
        <v>229500</v>
      </c>
      <c r="I14" s="5"/>
      <c r="J14" s="5"/>
      <c r="K14" s="5"/>
    </row>
    <row r="15" spans="1:11" x14ac:dyDescent="0.4">
      <c r="A15" s="5"/>
      <c r="B15" s="27" t="s">
        <v>22</v>
      </c>
      <c r="C15" s="27" t="str">
        <f t="shared" si="0"/>
        <v>パンツ</v>
      </c>
      <c r="D15" s="27" t="s">
        <v>23</v>
      </c>
      <c r="E15" s="27">
        <v>38</v>
      </c>
      <c r="F15" s="28">
        <f t="shared" si="1"/>
        <v>9800</v>
      </c>
      <c r="G15" s="29">
        <f t="shared" si="2"/>
        <v>0.1</v>
      </c>
      <c r="H15" s="30">
        <f t="shared" si="3"/>
        <v>335160</v>
      </c>
      <c r="I15" s="5"/>
      <c r="J15" s="5"/>
      <c r="K15" s="5"/>
    </row>
    <row r="16" spans="1:11" x14ac:dyDescent="0.4">
      <c r="A16" s="5"/>
      <c r="B16" s="31" t="s">
        <v>24</v>
      </c>
      <c r="C16" s="31" t="str">
        <f t="shared" si="0"/>
        <v>スカート</v>
      </c>
      <c r="D16" s="31" t="s">
        <v>20</v>
      </c>
      <c r="E16" s="31">
        <v>16</v>
      </c>
      <c r="F16" s="32">
        <f t="shared" si="1"/>
        <v>8500</v>
      </c>
      <c r="G16" s="33">
        <f t="shared" si="2"/>
        <v>0.1</v>
      </c>
      <c r="H16" s="34">
        <f t="shared" si="3"/>
        <v>122400</v>
      </c>
      <c r="I16" s="5"/>
      <c r="J16" s="5"/>
      <c r="K16" s="5"/>
    </row>
    <row r="17" spans="1:11" x14ac:dyDescent="0.4">
      <c r="A17" s="5"/>
      <c r="B17" s="27" t="s">
        <v>19</v>
      </c>
      <c r="C17" s="27" t="str">
        <f t="shared" si="0"/>
        <v>セーター</v>
      </c>
      <c r="D17" s="27" t="s">
        <v>25</v>
      </c>
      <c r="E17" s="27">
        <v>25</v>
      </c>
      <c r="F17" s="28">
        <f t="shared" si="1"/>
        <v>8900</v>
      </c>
      <c r="G17" s="29">
        <f t="shared" si="2"/>
        <v>0.05</v>
      </c>
      <c r="H17" s="30">
        <f t="shared" si="3"/>
        <v>211375</v>
      </c>
      <c r="I17" s="5"/>
      <c r="J17" s="5"/>
      <c r="K17" s="5"/>
    </row>
    <row r="18" spans="1:11" x14ac:dyDescent="0.4">
      <c r="A18" s="5"/>
      <c r="B18" s="31" t="s">
        <v>22</v>
      </c>
      <c r="C18" s="31" t="str">
        <f t="shared" si="0"/>
        <v>パンツ</v>
      </c>
      <c r="D18" s="31" t="s">
        <v>23</v>
      </c>
      <c r="E18" s="31">
        <v>48</v>
      </c>
      <c r="F18" s="32">
        <f t="shared" si="1"/>
        <v>9800</v>
      </c>
      <c r="G18" s="33">
        <f t="shared" si="2"/>
        <v>0.1</v>
      </c>
      <c r="H18" s="34">
        <f t="shared" si="3"/>
        <v>423360</v>
      </c>
      <c r="I18" s="5"/>
      <c r="J18" s="5"/>
      <c r="K18" s="5"/>
    </row>
    <row r="19" spans="1:11" x14ac:dyDescent="0.4">
      <c r="A19" s="5"/>
      <c r="B19" s="27" t="s">
        <v>21</v>
      </c>
      <c r="C19" s="27" t="str">
        <f t="shared" si="0"/>
        <v>ジャケット</v>
      </c>
      <c r="D19" s="27" t="s">
        <v>26</v>
      </c>
      <c r="E19" s="27">
        <v>24</v>
      </c>
      <c r="F19" s="28">
        <f t="shared" si="1"/>
        <v>15000</v>
      </c>
      <c r="G19" s="29">
        <f t="shared" si="2"/>
        <v>0.05</v>
      </c>
      <c r="H19" s="30">
        <f t="shared" si="3"/>
        <v>342000</v>
      </c>
      <c r="I19" s="5"/>
      <c r="J19" s="5"/>
      <c r="K19" s="5"/>
    </row>
    <row r="20" spans="1:11" x14ac:dyDescent="0.4">
      <c r="A20" s="5"/>
      <c r="B20" s="31" t="s">
        <v>22</v>
      </c>
      <c r="C20" s="31" t="str">
        <f t="shared" si="0"/>
        <v>パンツ</v>
      </c>
      <c r="D20" s="31" t="s">
        <v>23</v>
      </c>
      <c r="E20" s="31">
        <v>32</v>
      </c>
      <c r="F20" s="32">
        <f t="shared" si="1"/>
        <v>9800</v>
      </c>
      <c r="G20" s="33">
        <f t="shared" si="2"/>
        <v>0.1</v>
      </c>
      <c r="H20" s="34">
        <f t="shared" si="3"/>
        <v>282240</v>
      </c>
      <c r="I20" s="5"/>
      <c r="J20" s="5"/>
      <c r="K20" s="5"/>
    </row>
    <row r="21" spans="1:11" x14ac:dyDescent="0.4">
      <c r="A21" s="5"/>
      <c r="B21" s="27" t="s">
        <v>24</v>
      </c>
      <c r="C21" s="27" t="str">
        <f t="shared" si="0"/>
        <v>スカート</v>
      </c>
      <c r="D21" s="27" t="s">
        <v>25</v>
      </c>
      <c r="E21" s="27">
        <v>18</v>
      </c>
      <c r="F21" s="28">
        <f t="shared" si="1"/>
        <v>8500</v>
      </c>
      <c r="G21" s="29">
        <f t="shared" si="2"/>
        <v>0.05</v>
      </c>
      <c r="H21" s="30">
        <f t="shared" si="3"/>
        <v>145350</v>
      </c>
      <c r="I21" s="5"/>
      <c r="J21" s="5"/>
      <c r="K21" s="5"/>
    </row>
    <row r="22" spans="1:11" x14ac:dyDescent="0.4">
      <c r="A22" s="5"/>
      <c r="B22" s="31" t="s">
        <v>19</v>
      </c>
      <c r="C22" s="31" t="str">
        <f t="shared" si="0"/>
        <v>セーター</v>
      </c>
      <c r="D22" s="31" t="s">
        <v>23</v>
      </c>
      <c r="E22" s="31">
        <v>13</v>
      </c>
      <c r="F22" s="32">
        <f t="shared" si="1"/>
        <v>8900</v>
      </c>
      <c r="G22" s="33">
        <f t="shared" si="2"/>
        <v>0.1</v>
      </c>
      <c r="H22" s="34">
        <f t="shared" si="3"/>
        <v>104130</v>
      </c>
      <c r="I22" s="5"/>
      <c r="J22" s="5"/>
      <c r="K22" s="5"/>
    </row>
    <row r="23" spans="1:11" x14ac:dyDescent="0.4">
      <c r="A23" s="5"/>
      <c r="B23" s="27" t="s">
        <v>27</v>
      </c>
      <c r="C23" s="27" t="str">
        <f t="shared" si="0"/>
        <v>コート</v>
      </c>
      <c r="D23" s="27" t="s">
        <v>25</v>
      </c>
      <c r="E23" s="27">
        <v>12</v>
      </c>
      <c r="F23" s="28">
        <f t="shared" si="1"/>
        <v>25000</v>
      </c>
      <c r="G23" s="29">
        <f t="shared" si="2"/>
        <v>0.05</v>
      </c>
      <c r="H23" s="30">
        <f t="shared" si="3"/>
        <v>285000</v>
      </c>
      <c r="I23" s="5"/>
      <c r="J23" s="5"/>
      <c r="K23" s="5"/>
    </row>
    <row r="24" spans="1:11" x14ac:dyDescent="0.4">
      <c r="A24" s="5"/>
      <c r="B24" s="31" t="s">
        <v>21</v>
      </c>
      <c r="C24" s="31" t="str">
        <f t="shared" si="0"/>
        <v>ジャケット</v>
      </c>
      <c r="D24" s="31" t="s">
        <v>20</v>
      </c>
      <c r="E24" s="31">
        <v>8</v>
      </c>
      <c r="F24" s="32">
        <f t="shared" si="1"/>
        <v>15000</v>
      </c>
      <c r="G24" s="33">
        <f t="shared" si="2"/>
        <v>0.1</v>
      </c>
      <c r="H24" s="34">
        <f t="shared" si="3"/>
        <v>108000</v>
      </c>
      <c r="I24" s="5"/>
      <c r="J24" s="5"/>
      <c r="K24" s="5"/>
    </row>
    <row r="25" spans="1:11" x14ac:dyDescent="0.4">
      <c r="A25" s="5"/>
      <c r="B25" s="27" t="s">
        <v>22</v>
      </c>
      <c r="C25" s="27" t="str">
        <f t="shared" si="0"/>
        <v>パンツ</v>
      </c>
      <c r="D25" s="27" t="s">
        <v>26</v>
      </c>
      <c r="E25" s="27">
        <v>15</v>
      </c>
      <c r="F25" s="28">
        <f t="shared" si="1"/>
        <v>9800</v>
      </c>
      <c r="G25" s="29">
        <f t="shared" si="2"/>
        <v>0.05</v>
      </c>
      <c r="H25" s="30">
        <f t="shared" si="3"/>
        <v>139650</v>
      </c>
      <c r="I25" s="5"/>
      <c r="J25" s="5"/>
      <c r="K25" s="5"/>
    </row>
    <row r="26" spans="1:11" x14ac:dyDescent="0.4">
      <c r="A26" s="5"/>
      <c r="B26" s="31" t="s">
        <v>24</v>
      </c>
      <c r="C26" s="31" t="str">
        <f t="shared" si="0"/>
        <v>スカート</v>
      </c>
      <c r="D26" s="31" t="s">
        <v>25</v>
      </c>
      <c r="E26" s="31">
        <v>14</v>
      </c>
      <c r="F26" s="32">
        <f t="shared" si="1"/>
        <v>8500</v>
      </c>
      <c r="G26" s="33">
        <f t="shared" si="2"/>
        <v>0.05</v>
      </c>
      <c r="H26" s="34">
        <f t="shared" si="3"/>
        <v>113050</v>
      </c>
      <c r="I26" s="5"/>
      <c r="J26" s="5"/>
      <c r="K26" s="5"/>
    </row>
    <row r="27" spans="1:11" x14ac:dyDescent="0.4">
      <c r="A27" s="5"/>
      <c r="B27" s="27" t="s">
        <v>27</v>
      </c>
      <c r="C27" s="27" t="str">
        <f t="shared" si="0"/>
        <v>コート</v>
      </c>
      <c r="D27" s="27" t="s">
        <v>25</v>
      </c>
      <c r="E27" s="27">
        <v>18</v>
      </c>
      <c r="F27" s="28">
        <f t="shared" si="1"/>
        <v>25000</v>
      </c>
      <c r="G27" s="29">
        <f t="shared" si="2"/>
        <v>0.05</v>
      </c>
      <c r="H27" s="30">
        <f t="shared" si="3"/>
        <v>427500</v>
      </c>
      <c r="I27" s="5"/>
      <c r="J27" s="5"/>
      <c r="K27" s="5"/>
    </row>
    <row r="28" spans="1:11" x14ac:dyDescent="0.4">
      <c r="A28" s="5"/>
      <c r="B28" s="31" t="s">
        <v>21</v>
      </c>
      <c r="C28" s="31" t="str">
        <f t="shared" si="0"/>
        <v>ジャケット</v>
      </c>
      <c r="D28" s="31" t="s">
        <v>23</v>
      </c>
      <c r="E28" s="31">
        <v>32</v>
      </c>
      <c r="F28" s="32">
        <f t="shared" si="1"/>
        <v>15000</v>
      </c>
      <c r="G28" s="33">
        <f t="shared" si="2"/>
        <v>0.1</v>
      </c>
      <c r="H28" s="34">
        <f t="shared" si="3"/>
        <v>432000</v>
      </c>
      <c r="I28" s="5"/>
      <c r="J28" s="5"/>
      <c r="K28" s="5"/>
    </row>
    <row r="29" spans="1:11" x14ac:dyDescent="0.4">
      <c r="A29" s="5"/>
      <c r="B29" s="27" t="s">
        <v>19</v>
      </c>
      <c r="C29" s="27" t="str">
        <f t="shared" si="0"/>
        <v>セーター</v>
      </c>
      <c r="D29" s="27" t="s">
        <v>20</v>
      </c>
      <c r="E29" s="27">
        <v>36</v>
      </c>
      <c r="F29" s="28">
        <f t="shared" si="1"/>
        <v>8900</v>
      </c>
      <c r="G29" s="29">
        <f t="shared" si="2"/>
        <v>0.1</v>
      </c>
      <c r="H29" s="30">
        <f t="shared" si="3"/>
        <v>288360</v>
      </c>
      <c r="I29" s="5"/>
      <c r="J29" s="5"/>
      <c r="K29" s="5"/>
    </row>
    <row r="30" spans="1:11" x14ac:dyDescent="0.4">
      <c r="A30" s="5"/>
      <c r="B30" s="31" t="s">
        <v>22</v>
      </c>
      <c r="C30" s="31" t="str">
        <f t="shared" si="0"/>
        <v>パンツ</v>
      </c>
      <c r="D30" s="31" t="s">
        <v>25</v>
      </c>
      <c r="E30" s="31">
        <v>26</v>
      </c>
      <c r="F30" s="32">
        <f t="shared" si="1"/>
        <v>9800</v>
      </c>
      <c r="G30" s="33">
        <f t="shared" si="2"/>
        <v>0.05</v>
      </c>
      <c r="H30" s="34">
        <f t="shared" si="3"/>
        <v>242060</v>
      </c>
      <c r="I30" s="5"/>
      <c r="J30" s="5"/>
      <c r="K30" s="5"/>
    </row>
    <row r="31" spans="1:11" x14ac:dyDescent="0.4">
      <c r="A31" s="5"/>
      <c r="B31" s="27" t="s">
        <v>24</v>
      </c>
      <c r="C31" s="27" t="str">
        <f t="shared" si="0"/>
        <v>スカート</v>
      </c>
      <c r="D31" s="27" t="s">
        <v>26</v>
      </c>
      <c r="E31" s="27">
        <v>28</v>
      </c>
      <c r="F31" s="28">
        <f t="shared" si="1"/>
        <v>8500</v>
      </c>
      <c r="G31" s="29">
        <f t="shared" si="2"/>
        <v>0.05</v>
      </c>
      <c r="H31" s="30">
        <f t="shared" si="3"/>
        <v>226100</v>
      </c>
      <c r="I31" s="5"/>
      <c r="J31" s="5"/>
      <c r="K31" s="5"/>
    </row>
    <row r="32" spans="1:11" x14ac:dyDescent="0.4">
      <c r="A32" s="5"/>
      <c r="B32" s="31" t="s">
        <v>27</v>
      </c>
      <c r="C32" s="31" t="str">
        <f t="shared" si="0"/>
        <v>コート</v>
      </c>
      <c r="D32" s="31" t="s">
        <v>26</v>
      </c>
      <c r="E32" s="31">
        <v>16</v>
      </c>
      <c r="F32" s="32">
        <f t="shared" si="1"/>
        <v>25000</v>
      </c>
      <c r="G32" s="33">
        <f t="shared" si="2"/>
        <v>0.05</v>
      </c>
      <c r="H32" s="34">
        <f t="shared" si="3"/>
        <v>380000</v>
      </c>
      <c r="I32" s="5"/>
      <c r="J32" s="5"/>
      <c r="K32" s="5"/>
    </row>
    <row r="33" spans="1:11" x14ac:dyDescent="0.4">
      <c r="A33" s="5"/>
      <c r="B33" s="27" t="s">
        <v>8</v>
      </c>
      <c r="C33" s="27" t="str">
        <f t="shared" si="0"/>
        <v>パンツ</v>
      </c>
      <c r="D33" s="27" t="s">
        <v>20</v>
      </c>
      <c r="E33" s="27">
        <v>22</v>
      </c>
      <c r="F33" s="28">
        <f t="shared" si="1"/>
        <v>9800</v>
      </c>
      <c r="G33" s="29">
        <f t="shared" si="2"/>
        <v>0.1</v>
      </c>
      <c r="H33" s="30">
        <f t="shared" si="3"/>
        <v>194040</v>
      </c>
      <c r="I33" s="5"/>
      <c r="J33" s="5"/>
      <c r="K33" s="5"/>
    </row>
    <row r="34" spans="1:11" x14ac:dyDescent="0.4">
      <c r="A34" s="5"/>
      <c r="B34" s="31" t="s">
        <v>31</v>
      </c>
      <c r="C34" s="31" t="str">
        <f t="shared" si="0"/>
        <v>セーター</v>
      </c>
      <c r="D34" s="31" t="s">
        <v>23</v>
      </c>
      <c r="E34" s="31">
        <v>30</v>
      </c>
      <c r="F34" s="32">
        <f t="shared" si="1"/>
        <v>8900</v>
      </c>
      <c r="G34" s="33">
        <f t="shared" si="2"/>
        <v>0.1</v>
      </c>
      <c r="H34" s="34">
        <f t="shared" si="3"/>
        <v>240300</v>
      </c>
      <c r="I34" s="5"/>
      <c r="J34" s="5"/>
      <c r="K34" s="5"/>
    </row>
    <row r="35" spans="1:11" x14ac:dyDescent="0.4">
      <c r="A35" s="5"/>
      <c r="B35" s="27" t="s">
        <v>14</v>
      </c>
      <c r="C35" s="27" t="str">
        <f t="shared" si="0"/>
        <v>コート</v>
      </c>
      <c r="D35" s="27" t="s">
        <v>20</v>
      </c>
      <c r="E35" s="27">
        <v>8</v>
      </c>
      <c r="F35" s="28">
        <f t="shared" si="1"/>
        <v>25000</v>
      </c>
      <c r="G35" s="29">
        <f t="shared" si="2"/>
        <v>0.1</v>
      </c>
      <c r="H35" s="30">
        <f t="shared" si="3"/>
        <v>180000</v>
      </c>
      <c r="I35" s="5"/>
      <c r="J35" s="5"/>
      <c r="K35" s="5"/>
    </row>
    <row r="36" spans="1:11" x14ac:dyDescent="0.4">
      <c r="A36" s="5"/>
      <c r="B36" s="31" t="s">
        <v>6</v>
      </c>
      <c r="C36" s="31" t="str">
        <f t="shared" si="0"/>
        <v>ジャケット</v>
      </c>
      <c r="D36" s="31" t="s">
        <v>25</v>
      </c>
      <c r="E36" s="31">
        <v>42</v>
      </c>
      <c r="F36" s="32">
        <f t="shared" si="1"/>
        <v>15000</v>
      </c>
      <c r="G36" s="33">
        <f t="shared" si="2"/>
        <v>0.05</v>
      </c>
      <c r="H36" s="34">
        <f t="shared" si="3"/>
        <v>598500</v>
      </c>
      <c r="I36" s="5"/>
      <c r="J36" s="5"/>
      <c r="K36" s="5"/>
    </row>
    <row r="37" spans="1:11" x14ac:dyDescent="0.4">
      <c r="A37" s="5"/>
      <c r="B37" s="27" t="s">
        <v>11</v>
      </c>
      <c r="C37" s="27" t="str">
        <f t="shared" si="0"/>
        <v>スカート</v>
      </c>
      <c r="D37" s="27" t="s">
        <v>20</v>
      </c>
      <c r="E37" s="27">
        <v>15</v>
      </c>
      <c r="F37" s="28">
        <f t="shared" si="1"/>
        <v>8500</v>
      </c>
      <c r="G37" s="29">
        <f t="shared" si="2"/>
        <v>0.1</v>
      </c>
      <c r="H37" s="30">
        <f t="shared" si="3"/>
        <v>114750</v>
      </c>
      <c r="I37" s="5"/>
      <c r="J37" s="5"/>
      <c r="K37" s="5"/>
    </row>
    <row r="38" spans="1:11" x14ac:dyDescent="0.4">
      <c r="A38" s="5"/>
      <c r="B38" s="31" t="s">
        <v>31</v>
      </c>
      <c r="C38" s="31" t="str">
        <f t="shared" si="0"/>
        <v>セーター</v>
      </c>
      <c r="D38" s="31" t="s">
        <v>26</v>
      </c>
      <c r="E38" s="31">
        <v>17</v>
      </c>
      <c r="F38" s="32">
        <f t="shared" si="1"/>
        <v>8900</v>
      </c>
      <c r="G38" s="33">
        <f t="shared" si="2"/>
        <v>0.05</v>
      </c>
      <c r="H38" s="34">
        <f t="shared" si="3"/>
        <v>143735</v>
      </c>
      <c r="I38" s="5"/>
      <c r="J38" s="5"/>
      <c r="K38" s="5"/>
    </row>
    <row r="39" spans="1:11" x14ac:dyDescent="0.4">
      <c r="A39" s="5"/>
      <c r="B39" s="27" t="s">
        <v>31</v>
      </c>
      <c r="C39" s="27" t="str">
        <f t="shared" si="0"/>
        <v>セーター</v>
      </c>
      <c r="D39" s="27" t="s">
        <v>25</v>
      </c>
      <c r="E39" s="27">
        <v>16</v>
      </c>
      <c r="F39" s="28">
        <f t="shared" si="1"/>
        <v>8900</v>
      </c>
      <c r="G39" s="29">
        <f t="shared" si="2"/>
        <v>0.05</v>
      </c>
      <c r="H39" s="30">
        <f t="shared" si="3"/>
        <v>135280</v>
      </c>
      <c r="I39" s="5"/>
      <c r="J39" s="5"/>
      <c r="K39" s="5"/>
    </row>
    <row r="40" spans="1:11" x14ac:dyDescent="0.4">
      <c r="A40" s="5"/>
      <c r="B40" s="31" t="s">
        <v>14</v>
      </c>
      <c r="C40" s="31" t="str">
        <f t="shared" si="0"/>
        <v>コート</v>
      </c>
      <c r="D40" s="31" t="s">
        <v>26</v>
      </c>
      <c r="E40" s="31">
        <v>10</v>
      </c>
      <c r="F40" s="32">
        <f t="shared" si="1"/>
        <v>25000</v>
      </c>
      <c r="G40" s="33">
        <f t="shared" si="2"/>
        <v>0.05</v>
      </c>
      <c r="H40" s="34">
        <f t="shared" si="3"/>
        <v>237500</v>
      </c>
      <c r="I40" s="5"/>
      <c r="J40" s="5"/>
      <c r="K40" s="5"/>
    </row>
    <row r="41" spans="1:11" x14ac:dyDescent="0.4">
      <c r="A41" s="5"/>
      <c r="B41" s="27" t="s">
        <v>11</v>
      </c>
      <c r="C41" s="27" t="str">
        <f t="shared" si="0"/>
        <v>スカート</v>
      </c>
      <c r="D41" s="27" t="s">
        <v>23</v>
      </c>
      <c r="E41" s="27">
        <v>26</v>
      </c>
      <c r="F41" s="28">
        <f t="shared" si="1"/>
        <v>8500</v>
      </c>
      <c r="G41" s="29">
        <f t="shared" si="2"/>
        <v>0.1</v>
      </c>
      <c r="H41" s="30">
        <f t="shared" si="3"/>
        <v>198900</v>
      </c>
      <c r="I41" s="5"/>
      <c r="J41" s="5"/>
      <c r="K41" s="5"/>
    </row>
    <row r="42" spans="1:11" x14ac:dyDescent="0.4">
      <c r="A42" s="5"/>
      <c r="B42" s="31" t="s">
        <v>6</v>
      </c>
      <c r="C42" s="31" t="str">
        <f t="shared" si="0"/>
        <v>ジャケット</v>
      </c>
      <c r="D42" s="31" t="s">
        <v>23</v>
      </c>
      <c r="E42" s="31">
        <v>9</v>
      </c>
      <c r="F42" s="32">
        <f t="shared" si="1"/>
        <v>15000</v>
      </c>
      <c r="G42" s="33">
        <f t="shared" si="2"/>
        <v>0.1</v>
      </c>
      <c r="H42" s="34">
        <f t="shared" si="3"/>
        <v>121500</v>
      </c>
      <c r="I42" s="5"/>
      <c r="J42" s="5"/>
      <c r="K42" s="5"/>
    </row>
    <row r="43" spans="1:11" x14ac:dyDescent="0.4">
      <c r="A43" s="5"/>
      <c r="B43" s="27" t="s">
        <v>11</v>
      </c>
      <c r="C43" s="27" t="str">
        <f t="shared" si="0"/>
        <v>スカート</v>
      </c>
      <c r="D43" s="27" t="s">
        <v>25</v>
      </c>
      <c r="E43" s="27">
        <v>12</v>
      </c>
      <c r="F43" s="28">
        <f t="shared" si="1"/>
        <v>8500</v>
      </c>
      <c r="G43" s="29">
        <f t="shared" si="2"/>
        <v>0.05</v>
      </c>
      <c r="H43" s="30">
        <f t="shared" si="3"/>
        <v>96900</v>
      </c>
      <c r="I43" s="5"/>
      <c r="J43" s="5"/>
      <c r="K43" s="5"/>
    </row>
    <row r="44" spans="1:11" x14ac:dyDescent="0.4">
      <c r="A44" s="5"/>
      <c r="B44" s="31" t="s">
        <v>8</v>
      </c>
      <c r="C44" s="31" t="str">
        <f t="shared" si="0"/>
        <v>パンツ</v>
      </c>
      <c r="D44" s="31" t="s">
        <v>26</v>
      </c>
      <c r="E44" s="31">
        <v>25</v>
      </c>
      <c r="F44" s="32">
        <f t="shared" si="1"/>
        <v>9800</v>
      </c>
      <c r="G44" s="33">
        <f t="shared" si="2"/>
        <v>0.05</v>
      </c>
      <c r="H44" s="34">
        <f t="shared" si="3"/>
        <v>232750</v>
      </c>
      <c r="I44" s="5"/>
      <c r="J44" s="5"/>
      <c r="K44" s="5"/>
    </row>
    <row r="45" spans="1:11" x14ac:dyDescent="0.4">
      <c r="A45" s="5"/>
      <c r="B45" s="27" t="s">
        <v>6</v>
      </c>
      <c r="C45" s="27" t="str">
        <f t="shared" si="0"/>
        <v>ジャケット</v>
      </c>
      <c r="D45" s="27" t="s">
        <v>26</v>
      </c>
      <c r="E45" s="27">
        <v>14</v>
      </c>
      <c r="F45" s="28">
        <f t="shared" si="1"/>
        <v>15000</v>
      </c>
      <c r="G45" s="29">
        <f t="shared" si="2"/>
        <v>0.05</v>
      </c>
      <c r="H45" s="30">
        <f t="shared" si="3"/>
        <v>199500</v>
      </c>
      <c r="I45" s="5"/>
      <c r="J45" s="5"/>
      <c r="K45" s="5"/>
    </row>
    <row r="46" spans="1:11" x14ac:dyDescent="0.4">
      <c r="A46" s="5"/>
      <c r="B46" s="31" t="s">
        <v>11</v>
      </c>
      <c r="C46" s="31" t="str">
        <f t="shared" si="0"/>
        <v>スカート</v>
      </c>
      <c r="D46" s="31" t="s">
        <v>13</v>
      </c>
      <c r="E46" s="31">
        <v>34</v>
      </c>
      <c r="F46" s="32">
        <f t="shared" si="1"/>
        <v>8500</v>
      </c>
      <c r="G46" s="33">
        <f t="shared" si="2"/>
        <v>0.1</v>
      </c>
      <c r="H46" s="34">
        <f t="shared" si="3"/>
        <v>260100</v>
      </c>
      <c r="I46" s="5"/>
      <c r="J46" s="5"/>
      <c r="K46" s="5"/>
    </row>
    <row r="47" spans="1:11" x14ac:dyDescent="0.4">
      <c r="A47" s="5"/>
      <c r="B47" s="27" t="s">
        <v>14</v>
      </c>
      <c r="C47" s="27" t="str">
        <f t="shared" si="0"/>
        <v>コート</v>
      </c>
      <c r="D47" s="27" t="s">
        <v>23</v>
      </c>
      <c r="E47" s="27">
        <v>22</v>
      </c>
      <c r="F47" s="28">
        <f t="shared" si="1"/>
        <v>25000</v>
      </c>
      <c r="G47" s="29">
        <f t="shared" si="2"/>
        <v>0.1</v>
      </c>
      <c r="H47" s="30">
        <f t="shared" si="3"/>
        <v>495000</v>
      </c>
      <c r="I47" s="5"/>
      <c r="J47" s="5"/>
      <c r="K47" s="5"/>
    </row>
    <row r="48" spans="1:11" x14ac:dyDescent="0.4">
      <c r="A48" s="5"/>
      <c r="B48" s="31" t="s">
        <v>31</v>
      </c>
      <c r="C48" s="31" t="str">
        <f t="shared" si="0"/>
        <v>セーター</v>
      </c>
      <c r="D48" s="31" t="s">
        <v>25</v>
      </c>
      <c r="E48" s="31">
        <v>28</v>
      </c>
      <c r="F48" s="32">
        <f t="shared" si="1"/>
        <v>8900</v>
      </c>
      <c r="G48" s="33">
        <f t="shared" si="2"/>
        <v>0.05</v>
      </c>
      <c r="H48" s="34">
        <f t="shared" si="3"/>
        <v>236740</v>
      </c>
      <c r="I48" s="5"/>
      <c r="J48" s="5"/>
      <c r="K48" s="5"/>
    </row>
    <row r="49" spans="1:11" x14ac:dyDescent="0.4">
      <c r="A49" s="5"/>
      <c r="B49" s="27" t="s">
        <v>14</v>
      </c>
      <c r="C49" s="27" t="str">
        <f t="shared" si="0"/>
        <v>コート</v>
      </c>
      <c r="D49" s="27" t="s">
        <v>34</v>
      </c>
      <c r="E49" s="27">
        <v>16</v>
      </c>
      <c r="F49" s="28">
        <f t="shared" si="1"/>
        <v>25000</v>
      </c>
      <c r="G49" s="29">
        <f t="shared" si="2"/>
        <v>0.1</v>
      </c>
      <c r="H49" s="30">
        <f t="shared" si="3"/>
        <v>360000</v>
      </c>
      <c r="I49" s="5"/>
      <c r="J49" s="5"/>
      <c r="K49" s="5"/>
    </row>
    <row r="50" spans="1:11" x14ac:dyDescent="0.4">
      <c r="A50" s="5"/>
      <c r="B50" s="31" t="s">
        <v>6</v>
      </c>
      <c r="C50" s="31" t="str">
        <f t="shared" si="0"/>
        <v>ジャケット</v>
      </c>
      <c r="D50" s="31" t="s">
        <v>20</v>
      </c>
      <c r="E50" s="31">
        <v>13</v>
      </c>
      <c r="F50" s="32">
        <f t="shared" si="1"/>
        <v>15000</v>
      </c>
      <c r="G50" s="33">
        <f t="shared" si="2"/>
        <v>0.1</v>
      </c>
      <c r="H50" s="34">
        <f t="shared" si="3"/>
        <v>175500</v>
      </c>
      <c r="I50" s="5"/>
      <c r="J50" s="5"/>
      <c r="K50" s="5"/>
    </row>
    <row r="51" spans="1:11" x14ac:dyDescent="0.4">
      <c r="A51" s="5"/>
      <c r="B51" s="27" t="s">
        <v>8</v>
      </c>
      <c r="C51" s="27" t="str">
        <f t="shared" si="0"/>
        <v>パンツ</v>
      </c>
      <c r="D51" s="27" t="s">
        <v>26</v>
      </c>
      <c r="E51" s="27">
        <v>18</v>
      </c>
      <c r="F51" s="28">
        <f t="shared" si="1"/>
        <v>9800</v>
      </c>
      <c r="G51" s="29">
        <f t="shared" si="2"/>
        <v>0.05</v>
      </c>
      <c r="H51" s="30">
        <f t="shared" si="3"/>
        <v>167580</v>
      </c>
      <c r="I51" s="5"/>
      <c r="J51" s="5"/>
      <c r="K51" s="5"/>
    </row>
    <row r="52" spans="1:11" x14ac:dyDescent="0.4">
      <c r="A52" s="5"/>
      <c r="B52" s="35" t="s">
        <v>14</v>
      </c>
      <c r="C52" s="35" t="str">
        <f t="shared" si="0"/>
        <v>コート</v>
      </c>
      <c r="D52" s="35" t="s">
        <v>26</v>
      </c>
      <c r="E52" s="35">
        <v>24</v>
      </c>
      <c r="F52" s="36">
        <f t="shared" si="1"/>
        <v>25000</v>
      </c>
      <c r="G52" s="37">
        <f t="shared" si="2"/>
        <v>0.05</v>
      </c>
      <c r="H52" s="24">
        <f t="shared" si="3"/>
        <v>570000</v>
      </c>
      <c r="I52" s="5"/>
      <c r="J52" s="5"/>
      <c r="K52" s="5"/>
    </row>
  </sheetData>
  <phoneticPr fontId="2"/>
  <conditionalFormatting sqref="H13:H5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horizontalDpi="96" verticalDpi="96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1"/>
  <sheetViews>
    <sheetView showGridLines="0" workbookViewId="0"/>
  </sheetViews>
  <sheetFormatPr defaultRowHeight="18.75" x14ac:dyDescent="0.4"/>
  <cols>
    <col min="1" max="1" width="3.625" customWidth="1"/>
    <col min="2" max="2" width="9.625" customWidth="1"/>
    <col min="3" max="3" width="11.625" customWidth="1"/>
    <col min="4" max="5" width="10.625" customWidth="1"/>
  </cols>
  <sheetData>
    <row r="1" spans="1:5" x14ac:dyDescent="0.4">
      <c r="A1" s="14"/>
      <c r="B1" s="14"/>
      <c r="C1" s="14"/>
      <c r="D1" s="15"/>
      <c r="E1" s="14"/>
    </row>
    <row r="2" spans="1:5" ht="19.5" x14ac:dyDescent="0.4">
      <c r="A2" s="14"/>
      <c r="B2" s="16" t="s">
        <v>37</v>
      </c>
      <c r="C2" s="14"/>
      <c r="D2" s="15"/>
      <c r="E2" s="14"/>
    </row>
    <row r="3" spans="1:5" x14ac:dyDescent="0.4">
      <c r="A3" s="14"/>
      <c r="B3" s="14"/>
      <c r="C3" s="14"/>
      <c r="D3" s="15"/>
      <c r="E3" s="14"/>
    </row>
    <row r="4" spans="1:5" x14ac:dyDescent="0.4">
      <c r="A4" s="14"/>
      <c r="B4" s="17" t="s">
        <v>3</v>
      </c>
      <c r="C4" s="17" t="s">
        <v>4</v>
      </c>
      <c r="D4" s="17" t="s">
        <v>16</v>
      </c>
      <c r="E4" s="17" t="s">
        <v>38</v>
      </c>
    </row>
    <row r="5" spans="1:5" x14ac:dyDescent="0.4">
      <c r="A5" s="14"/>
      <c r="B5" s="18" t="s">
        <v>39</v>
      </c>
      <c r="C5" s="18" t="s">
        <v>40</v>
      </c>
      <c r="D5" s="18">
        <v>762</v>
      </c>
      <c r="E5" s="19">
        <v>6781800</v>
      </c>
    </row>
    <row r="6" spans="1:5" x14ac:dyDescent="0.4">
      <c r="A6" s="14"/>
      <c r="B6" s="18" t="s">
        <v>6</v>
      </c>
      <c r="C6" s="18" t="s">
        <v>41</v>
      </c>
      <c r="D6" s="18">
        <v>682</v>
      </c>
      <c r="E6" s="19">
        <v>10230000</v>
      </c>
    </row>
    <row r="7" spans="1:5" x14ac:dyDescent="0.4">
      <c r="A7" s="14"/>
      <c r="B7" s="18" t="s">
        <v>42</v>
      </c>
      <c r="C7" s="18" t="s">
        <v>43</v>
      </c>
      <c r="D7" s="18">
        <v>830</v>
      </c>
      <c r="E7" s="19">
        <v>8134000</v>
      </c>
    </row>
    <row r="8" spans="1:5" x14ac:dyDescent="0.4">
      <c r="A8" s="14"/>
      <c r="B8" s="18" t="s">
        <v>11</v>
      </c>
      <c r="C8" s="18" t="s">
        <v>44</v>
      </c>
      <c r="D8" s="18">
        <v>580</v>
      </c>
      <c r="E8" s="19">
        <v>4930000</v>
      </c>
    </row>
    <row r="9" spans="1:5" x14ac:dyDescent="0.4">
      <c r="A9" s="14"/>
      <c r="B9" s="18" t="s">
        <v>45</v>
      </c>
      <c r="C9" s="18" t="s">
        <v>46</v>
      </c>
      <c r="D9" s="18">
        <v>451</v>
      </c>
      <c r="E9" s="19">
        <v>11275000</v>
      </c>
    </row>
    <row r="10" spans="1:5" ht="30" customHeight="1" x14ac:dyDescent="0.4">
      <c r="A10" s="14"/>
      <c r="B10" s="44" t="s">
        <v>47</v>
      </c>
      <c r="C10" s="44"/>
      <c r="D10" s="18"/>
      <c r="E10" s="18"/>
    </row>
    <row r="11" spans="1:5" x14ac:dyDescent="0.4">
      <c r="A11" s="14"/>
      <c r="B11" s="14"/>
      <c r="C11" s="14"/>
      <c r="D11" s="14"/>
      <c r="E11" s="14"/>
    </row>
  </sheetData>
  <mergeCells count="1">
    <mergeCell ref="B10:C10"/>
  </mergeCells>
  <phoneticPr fontId="2"/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>
          <x14:colorSeries theme="6" tint="-0.249977111117893"/>
          <x14:colorNegative theme="7"/>
          <x14:colorAxis rgb="FF000000"/>
          <x14:colorMarkers theme="7" tint="-0.249977111117893"/>
          <x14:colorFirst theme="7" tint="-0.249977111117893"/>
          <x14:colorLast theme="7" tint="-0.249977111117893"/>
          <x14:colorHigh theme="7" tint="-0.249977111117893"/>
          <x14:colorLow theme="7" tint="-0.249977111117893"/>
          <x14:sparklines>
            <x14:sparkline>
              <xm:f>商品別!D5:D9</xm:f>
              <xm:sqref>D10</xm:sqref>
            </x14:sparkline>
            <x14:sparkline>
              <xm:f>商品別!E5:E9</xm:f>
              <xm:sqref>E10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4"/>
  <sheetViews>
    <sheetView showGridLines="0" workbookViewId="0"/>
  </sheetViews>
  <sheetFormatPr defaultRowHeight="18.75" x14ac:dyDescent="0.4"/>
  <cols>
    <col min="1" max="1" width="3.625" customWidth="1"/>
    <col min="4" max="4" width="12.625" customWidth="1"/>
    <col min="5" max="5" width="6.875" customWidth="1"/>
    <col min="8" max="8" width="12.625" customWidth="1"/>
  </cols>
  <sheetData>
    <row r="1" spans="1:8" x14ac:dyDescent="0.4">
      <c r="A1" s="14"/>
      <c r="B1" s="14"/>
      <c r="C1" s="14"/>
      <c r="D1" s="14"/>
      <c r="E1" s="14"/>
      <c r="F1" s="14"/>
      <c r="G1" s="14"/>
      <c r="H1" s="14"/>
    </row>
    <row r="2" spans="1:8" x14ac:dyDescent="0.4">
      <c r="A2" s="14"/>
      <c r="B2" s="14"/>
      <c r="C2" s="14"/>
      <c r="D2" s="14"/>
      <c r="E2" s="14"/>
      <c r="F2" s="14"/>
      <c r="G2" s="14"/>
      <c r="H2" s="14"/>
    </row>
    <row r="3" spans="1:8" x14ac:dyDescent="0.4">
      <c r="A3" s="14"/>
      <c r="B3" s="14" t="s">
        <v>48</v>
      </c>
      <c r="C3" s="14"/>
      <c r="D3" s="14"/>
      <c r="E3" s="14"/>
      <c r="F3" s="14" t="s">
        <v>49</v>
      </c>
      <c r="G3" s="14"/>
      <c r="H3" s="14"/>
    </row>
    <row r="4" spans="1:8" x14ac:dyDescent="0.4">
      <c r="A4" s="14"/>
      <c r="B4" s="20" t="s">
        <v>9</v>
      </c>
      <c r="C4" s="20" t="s">
        <v>16</v>
      </c>
      <c r="D4" s="20" t="s">
        <v>38</v>
      </c>
      <c r="E4" s="14"/>
      <c r="F4" s="20" t="s">
        <v>9</v>
      </c>
      <c r="G4" s="20" t="s">
        <v>50</v>
      </c>
      <c r="H4" s="20" t="s">
        <v>38</v>
      </c>
    </row>
    <row r="5" spans="1:8" x14ac:dyDescent="0.4">
      <c r="A5" s="14"/>
      <c r="B5" s="18" t="s">
        <v>13</v>
      </c>
      <c r="C5" s="19">
        <v>734</v>
      </c>
      <c r="D5" s="19">
        <v>7421400</v>
      </c>
      <c r="E5" s="14"/>
      <c r="F5" s="18" t="s">
        <v>79</v>
      </c>
      <c r="G5" s="43">
        <v>2150</v>
      </c>
      <c r="H5" s="43">
        <v>24550380</v>
      </c>
    </row>
    <row r="6" spans="1:8" x14ac:dyDescent="0.4">
      <c r="A6" s="14"/>
      <c r="B6" s="18" t="s">
        <v>34</v>
      </c>
      <c r="C6" s="19">
        <v>958</v>
      </c>
      <c r="D6" s="19">
        <v>11371840</v>
      </c>
      <c r="E6" s="14"/>
      <c r="F6" s="18" t="s">
        <v>84</v>
      </c>
      <c r="G6" s="43">
        <v>2449</v>
      </c>
      <c r="H6" s="43">
        <v>27608680</v>
      </c>
    </row>
    <row r="7" spans="1:8" x14ac:dyDescent="0.4">
      <c r="A7" s="14"/>
      <c r="B7" s="18" t="s">
        <v>51</v>
      </c>
      <c r="C7" s="19">
        <v>760</v>
      </c>
      <c r="D7" s="19">
        <v>8970320</v>
      </c>
      <c r="E7" s="14"/>
      <c r="F7" s="18" t="s">
        <v>85</v>
      </c>
      <c r="G7" s="43">
        <v>2676</v>
      </c>
      <c r="H7" s="43">
        <v>31714000</v>
      </c>
    </row>
    <row r="8" spans="1:8" x14ac:dyDescent="0.4">
      <c r="A8" s="14"/>
      <c r="B8" s="18" t="s">
        <v>52</v>
      </c>
      <c r="C8" s="19">
        <v>687</v>
      </c>
      <c r="D8" s="19">
        <v>9499740</v>
      </c>
      <c r="E8" s="14"/>
      <c r="F8" s="18" t="s">
        <v>86</v>
      </c>
      <c r="G8" s="43">
        <v>2143</v>
      </c>
      <c r="H8" s="43">
        <v>27916870</v>
      </c>
    </row>
    <row r="9" spans="1:8" x14ac:dyDescent="0.4">
      <c r="A9" s="14"/>
      <c r="B9" s="21"/>
      <c r="C9" s="21"/>
      <c r="D9" s="14"/>
      <c r="E9" s="14"/>
      <c r="F9" s="14"/>
      <c r="G9" s="14"/>
      <c r="H9" s="14"/>
    </row>
    <row r="10" spans="1:8" x14ac:dyDescent="0.4">
      <c r="A10" s="14"/>
      <c r="B10" s="14" t="s">
        <v>53</v>
      </c>
      <c r="C10" s="14"/>
      <c r="D10" s="14"/>
      <c r="E10" s="14"/>
      <c r="F10" s="14"/>
      <c r="G10" s="14"/>
      <c r="H10" s="14"/>
    </row>
    <row r="11" spans="1:8" x14ac:dyDescent="0.4">
      <c r="A11" s="14"/>
      <c r="B11" s="20" t="s">
        <v>9</v>
      </c>
      <c r="C11" s="20" t="s">
        <v>16</v>
      </c>
      <c r="D11" s="20" t="s">
        <v>38</v>
      </c>
      <c r="E11" s="14"/>
      <c r="F11" s="14"/>
      <c r="G11" s="14"/>
      <c r="H11" s="14"/>
    </row>
    <row r="12" spans="1:8" x14ac:dyDescent="0.4">
      <c r="A12" s="14"/>
      <c r="B12" s="18" t="s">
        <v>13</v>
      </c>
      <c r="C12" s="19">
        <v>660</v>
      </c>
      <c r="D12" s="19">
        <v>6679260</v>
      </c>
      <c r="E12" s="14"/>
      <c r="F12" s="14"/>
      <c r="G12" s="14"/>
      <c r="H12" s="14"/>
    </row>
    <row r="13" spans="1:8" x14ac:dyDescent="0.4">
      <c r="A13" s="14"/>
      <c r="B13" s="18" t="s">
        <v>51</v>
      </c>
      <c r="C13" s="19">
        <v>862</v>
      </c>
      <c r="D13" s="19">
        <v>10234660</v>
      </c>
      <c r="E13" s="14"/>
      <c r="F13" s="14"/>
      <c r="G13" s="14"/>
      <c r="H13" s="14"/>
    </row>
    <row r="14" spans="1:8" x14ac:dyDescent="0.4">
      <c r="A14" s="14"/>
      <c r="B14" s="18" t="s">
        <v>34</v>
      </c>
      <c r="C14" s="19">
        <v>684</v>
      </c>
      <c r="D14" s="19">
        <v>8073290</v>
      </c>
      <c r="E14" s="14"/>
      <c r="F14" s="14"/>
      <c r="G14" s="14"/>
      <c r="H14" s="14"/>
    </row>
    <row r="15" spans="1:8" x14ac:dyDescent="0.4">
      <c r="A15" s="14"/>
      <c r="B15" s="18" t="s">
        <v>52</v>
      </c>
      <c r="C15" s="19">
        <v>620</v>
      </c>
      <c r="D15" s="19">
        <v>8549770</v>
      </c>
      <c r="E15" s="14"/>
      <c r="F15" s="14"/>
      <c r="G15" s="14"/>
      <c r="H15" s="14"/>
    </row>
    <row r="16" spans="1:8" x14ac:dyDescent="0.4">
      <c r="A16" s="14"/>
      <c r="B16" s="21"/>
      <c r="C16" s="21"/>
      <c r="D16" s="14"/>
      <c r="E16" s="14"/>
      <c r="F16" s="14"/>
      <c r="G16" s="14"/>
      <c r="H16" s="14"/>
    </row>
    <row r="17" spans="1:8" x14ac:dyDescent="0.4">
      <c r="A17" s="14"/>
      <c r="B17" s="14" t="s">
        <v>54</v>
      </c>
      <c r="C17" s="14"/>
      <c r="D17" s="14"/>
      <c r="E17" s="14"/>
      <c r="F17" s="14"/>
      <c r="G17" s="14"/>
      <c r="H17" s="14"/>
    </row>
    <row r="18" spans="1:8" x14ac:dyDescent="0.4">
      <c r="A18" s="14"/>
      <c r="B18" s="20" t="s">
        <v>9</v>
      </c>
      <c r="C18" s="20" t="s">
        <v>16</v>
      </c>
      <c r="D18" s="20" t="s">
        <v>38</v>
      </c>
      <c r="E18" s="14"/>
      <c r="F18" s="14"/>
      <c r="G18" s="14"/>
      <c r="H18" s="14"/>
    </row>
    <row r="19" spans="1:8" x14ac:dyDescent="0.4">
      <c r="A19" s="14"/>
      <c r="B19" s="18" t="s">
        <v>34</v>
      </c>
      <c r="C19" s="19">
        <v>807</v>
      </c>
      <c r="D19" s="19">
        <v>8163550</v>
      </c>
      <c r="E19" s="14"/>
      <c r="F19" s="14"/>
      <c r="G19" s="14"/>
      <c r="H19" s="14"/>
    </row>
    <row r="20" spans="1:8" x14ac:dyDescent="0.4">
      <c r="A20" s="14"/>
      <c r="B20" s="18" t="s">
        <v>51</v>
      </c>
      <c r="C20" s="19">
        <v>1054</v>
      </c>
      <c r="D20" s="19">
        <v>12509020</v>
      </c>
      <c r="E20" s="14"/>
      <c r="F20" s="14"/>
      <c r="G20" s="14"/>
      <c r="H20" s="14"/>
    </row>
    <row r="21" spans="1:8" x14ac:dyDescent="0.4">
      <c r="A21" s="14"/>
      <c r="B21" s="18" t="s">
        <v>52</v>
      </c>
      <c r="C21" s="19">
        <v>836</v>
      </c>
      <c r="D21" s="19">
        <v>9867360</v>
      </c>
      <c r="E21" s="14"/>
      <c r="F21" s="14"/>
      <c r="G21" s="14"/>
      <c r="H21" s="14"/>
    </row>
    <row r="22" spans="1:8" x14ac:dyDescent="0.4">
      <c r="A22" s="14"/>
      <c r="B22" s="18" t="s">
        <v>13</v>
      </c>
      <c r="C22" s="19">
        <v>756</v>
      </c>
      <c r="D22" s="19">
        <v>10449720</v>
      </c>
      <c r="E22" s="14"/>
      <c r="F22" s="14"/>
      <c r="G22" s="14"/>
      <c r="H22" s="14"/>
    </row>
    <row r="23" spans="1:8" x14ac:dyDescent="0.4">
      <c r="A23" s="14"/>
      <c r="B23" s="14"/>
      <c r="C23" s="14"/>
      <c r="D23" s="14"/>
      <c r="E23" s="14"/>
      <c r="F23" s="14"/>
      <c r="G23" s="14"/>
      <c r="H23" s="14"/>
    </row>
    <row r="24" spans="1:8" x14ac:dyDescent="0.4">
      <c r="A24" s="14"/>
      <c r="B24" s="14"/>
      <c r="C24" s="14"/>
      <c r="D24" s="14"/>
      <c r="E24" s="14"/>
      <c r="F24" s="14"/>
      <c r="G24" s="14"/>
      <c r="H24" s="14"/>
    </row>
  </sheetData>
  <dataConsolidate>
    <dataRefs count="3">
      <dataRef ref="B5:D8" sheet="集計"/>
      <dataRef ref="B12:D15" sheet="集計"/>
      <dataRef ref="B19:D22" sheet="集計"/>
    </dataRefs>
  </dataConsolidate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ピボット</vt:lpstr>
      <vt:lpstr>販売</vt:lpstr>
      <vt:lpstr>フィルター</vt:lpstr>
      <vt:lpstr>商品別</vt:lpstr>
      <vt:lpstr>集計</vt:lpstr>
      <vt:lpstr>フィルター!Criteria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Certify</dc:creator>
  <dcterms:created xsi:type="dcterms:W3CDTF">2016-05-30T08:07:03Z</dcterms:created>
  <dcterms:modified xsi:type="dcterms:W3CDTF">2016-08-01T07:29:12Z</dcterms:modified>
</cp:coreProperties>
</file>