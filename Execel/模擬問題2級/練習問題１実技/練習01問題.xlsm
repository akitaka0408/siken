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/>
  <mc:AlternateContent xmlns:mc="http://schemas.openxmlformats.org/markup-compatibility/2006">
    <mc:Choice Requires="x15">
      <x15ac:absPath xmlns:x15ac="http://schemas.microsoft.com/office/spreadsheetml/2010/11/ac" url="Z:\VBA\4_2級問題集\練習問題１実技\"/>
    </mc:Choice>
  </mc:AlternateContent>
  <xr:revisionPtr revIDLastSave="0" documentId="13_ncr:1_{7B483FE4-5A21-409A-89C0-6C999ED05D83}" xr6:coauthVersionLast="47" xr6:coauthVersionMax="47" xr10:uidLastSave="{00000000-0000-0000-0000-000000000000}"/>
  <bookViews>
    <workbookView xWindow="28695" yWindow="0" windowWidth="14610" windowHeight="15585" xr2:uid="{00000000-000D-0000-FFFF-FFFF00000000}"/>
  </bookViews>
  <sheets>
    <sheet name="利用状況" sheetId="1" r:id="rId1"/>
    <sheet name="各部屋状況" sheetId="2" r:id="rId2"/>
    <sheet name="値上げ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3" l="1"/>
  <c r="D9" i="3"/>
  <c r="G9" i="3" s="1"/>
  <c r="F8" i="3"/>
  <c r="D8" i="3"/>
  <c r="G8" i="3" s="1"/>
  <c r="F7" i="3"/>
  <c r="F10" i="3" s="1"/>
  <c r="D7" i="3"/>
  <c r="G7" i="3" s="1"/>
  <c r="G10" i="3" s="1"/>
  <c r="G11" i="3" l="1"/>
</calcChain>
</file>

<file path=xl/sharedStrings.xml><?xml version="1.0" encoding="utf-8"?>
<sst xmlns="http://schemas.openxmlformats.org/spreadsheetml/2006/main" count="162" uniqueCount="78">
  <si>
    <t>受験番号</t>
    <rPh sb="0" eb="2">
      <t>ジュケン</t>
    </rPh>
    <rPh sb="2" eb="4">
      <t>バンゴウ</t>
    </rPh>
    <phoneticPr fontId="3"/>
  </si>
  <si>
    <t>料金表</t>
    <rPh sb="0" eb="2">
      <t>リョウキン</t>
    </rPh>
    <rPh sb="2" eb="3">
      <t>ヒョウ</t>
    </rPh>
    <phoneticPr fontId="3"/>
  </si>
  <si>
    <t>受験者氏名</t>
    <rPh sb="0" eb="3">
      <t>ジュケンシャ</t>
    </rPh>
    <rPh sb="3" eb="5">
      <t>シメイ</t>
    </rPh>
    <phoneticPr fontId="3"/>
  </si>
  <si>
    <t>利用部屋</t>
    <rPh sb="0" eb="2">
      <t>リヨウ</t>
    </rPh>
    <rPh sb="2" eb="4">
      <t>ヘヤ</t>
    </rPh>
    <phoneticPr fontId="3"/>
  </si>
  <si>
    <t>利用料金</t>
    <rPh sb="2" eb="4">
      <t>リョウキン</t>
    </rPh>
    <phoneticPr fontId="3"/>
  </si>
  <si>
    <t>講習室</t>
    <rPh sb="0" eb="2">
      <t>コウシュウ</t>
    </rPh>
    <rPh sb="2" eb="3">
      <t>シツ</t>
    </rPh>
    <phoneticPr fontId="3"/>
  </si>
  <si>
    <t>音楽室</t>
    <rPh sb="0" eb="2">
      <t>オンガク</t>
    </rPh>
    <rPh sb="2" eb="3">
      <t>シツ</t>
    </rPh>
    <phoneticPr fontId="3"/>
  </si>
  <si>
    <t>大会議室</t>
    <rPh sb="0" eb="3">
      <t>ダイカイギ</t>
    </rPh>
    <rPh sb="3" eb="4">
      <t>シツ</t>
    </rPh>
    <phoneticPr fontId="3"/>
  </si>
  <si>
    <t>中会議室</t>
    <rPh sb="0" eb="1">
      <t>チュウ</t>
    </rPh>
    <rPh sb="1" eb="4">
      <t>カイギシツ</t>
    </rPh>
    <phoneticPr fontId="2"/>
  </si>
  <si>
    <t>小会議室</t>
    <rPh sb="0" eb="4">
      <t>ショウカイギシツ</t>
    </rPh>
    <phoneticPr fontId="2"/>
  </si>
  <si>
    <t>団体別利用料合計</t>
    <rPh sb="0" eb="2">
      <t>ダンタイ</t>
    </rPh>
    <rPh sb="2" eb="3">
      <t>ベツ</t>
    </rPh>
    <rPh sb="6" eb="8">
      <t>ゴウケイ</t>
    </rPh>
    <phoneticPr fontId="3"/>
  </si>
  <si>
    <t>利用団体</t>
    <rPh sb="0" eb="2">
      <t>リヨウ</t>
    </rPh>
    <rPh sb="2" eb="4">
      <t>ダンタイ</t>
    </rPh>
    <phoneticPr fontId="3"/>
  </si>
  <si>
    <t>利用料金合計</t>
    <rPh sb="2" eb="4">
      <t>リョウキン</t>
    </rPh>
    <rPh sb="4" eb="6">
      <t>ゴウケイ</t>
    </rPh>
    <phoneticPr fontId="3"/>
  </si>
  <si>
    <t>一般</t>
  </si>
  <si>
    <t>現在</t>
    <rPh sb="0" eb="2">
      <t>ゲンザイ</t>
    </rPh>
    <phoneticPr fontId="3"/>
  </si>
  <si>
    <t>利用番号</t>
    <rPh sb="0" eb="2">
      <t>リヨウ</t>
    </rPh>
    <rPh sb="2" eb="4">
      <t>バンゴウ</t>
    </rPh>
    <phoneticPr fontId="3"/>
  </si>
  <si>
    <t>利用開始年月</t>
    <rPh sb="2" eb="4">
      <t>カイシ</t>
    </rPh>
    <rPh sb="4" eb="5">
      <t>ネン</t>
    </rPh>
    <rPh sb="5" eb="6">
      <t>ガツ</t>
    </rPh>
    <phoneticPr fontId="3"/>
  </si>
  <si>
    <t>更新予定年月</t>
    <rPh sb="0" eb="2">
      <t>コウシン</t>
    </rPh>
    <rPh sb="2" eb="4">
      <t>ヨテイ</t>
    </rPh>
    <rPh sb="4" eb="5">
      <t>ネン</t>
    </rPh>
    <rPh sb="5" eb="6">
      <t>ガツ</t>
    </rPh>
    <phoneticPr fontId="3"/>
  </si>
  <si>
    <t>曜日</t>
    <rPh sb="0" eb="2">
      <t>ヨウビ</t>
    </rPh>
    <phoneticPr fontId="3"/>
  </si>
  <si>
    <t>更新</t>
    <rPh sb="0" eb="2">
      <t>コウシン</t>
    </rPh>
    <phoneticPr fontId="3"/>
  </si>
  <si>
    <t>H02014</t>
  </si>
  <si>
    <t>金</t>
  </si>
  <si>
    <t>一般</t>
    <rPh sb="0" eb="2">
      <t>イッパン</t>
    </rPh>
    <phoneticPr fontId="3"/>
  </si>
  <si>
    <t>H02019</t>
  </si>
  <si>
    <t>火</t>
  </si>
  <si>
    <t>青少年</t>
    <rPh sb="0" eb="3">
      <t>セイショウネン</t>
    </rPh>
    <phoneticPr fontId="3"/>
  </si>
  <si>
    <t>H02223</t>
  </si>
  <si>
    <t>月</t>
  </si>
  <si>
    <t>大会議室</t>
    <rPh sb="0" eb="4">
      <t>ダイカイギシツ</t>
    </rPh>
    <phoneticPr fontId="3"/>
  </si>
  <si>
    <t>H03013</t>
  </si>
  <si>
    <t>木</t>
  </si>
  <si>
    <t>H03020</t>
  </si>
  <si>
    <t>中会議室</t>
    <rPh sb="0" eb="1">
      <t>チュウ</t>
    </rPh>
    <rPh sb="1" eb="3">
      <t>カイギ</t>
    </rPh>
    <rPh sb="3" eb="4">
      <t>シツ</t>
    </rPh>
    <phoneticPr fontId="3"/>
  </si>
  <si>
    <t>H03029</t>
  </si>
  <si>
    <t>小会議室</t>
    <rPh sb="0" eb="4">
      <t>ショウカイギシツ</t>
    </rPh>
    <phoneticPr fontId="3"/>
  </si>
  <si>
    <t>H04015</t>
  </si>
  <si>
    <t>H04018</t>
  </si>
  <si>
    <t>水</t>
  </si>
  <si>
    <t>H04029</t>
  </si>
  <si>
    <t>S02555</t>
  </si>
  <si>
    <t>S02558</t>
  </si>
  <si>
    <t>日</t>
  </si>
  <si>
    <t>中会議室</t>
    <rPh sb="0" eb="1">
      <t>チュウ</t>
    </rPh>
    <rPh sb="1" eb="4">
      <t>カイギシツ</t>
    </rPh>
    <phoneticPr fontId="3"/>
  </si>
  <si>
    <t>S02563</t>
  </si>
  <si>
    <t>音楽室</t>
    <rPh sb="0" eb="3">
      <t>オンガクシツ</t>
    </rPh>
    <phoneticPr fontId="3"/>
  </si>
  <si>
    <t>S03010</t>
  </si>
  <si>
    <t>S03123</t>
  </si>
  <si>
    <t>S03378</t>
  </si>
  <si>
    <t>S04129</t>
  </si>
  <si>
    <t>S04225</t>
  </si>
  <si>
    <t>K02465</t>
    <phoneticPr fontId="2"/>
  </si>
  <si>
    <t>K04359</t>
    <phoneticPr fontId="2"/>
  </si>
  <si>
    <t>M02945</t>
    <phoneticPr fontId="2"/>
  </si>
  <si>
    <t>K01487</t>
    <phoneticPr fontId="2"/>
  </si>
  <si>
    <t>K03151</t>
    <phoneticPr fontId="2"/>
  </si>
  <si>
    <t>K03789</t>
    <phoneticPr fontId="2"/>
  </si>
  <si>
    <t>K04298</t>
    <phoneticPr fontId="2"/>
  </si>
  <si>
    <t>K05236</t>
    <phoneticPr fontId="2"/>
  </si>
  <si>
    <t>M01864</t>
    <phoneticPr fontId="2"/>
  </si>
  <si>
    <t>M02326</t>
    <phoneticPr fontId="2"/>
  </si>
  <si>
    <t>M02890</t>
    <phoneticPr fontId="2"/>
  </si>
  <si>
    <t>M03090</t>
    <phoneticPr fontId="2"/>
  </si>
  <si>
    <t>M04093</t>
    <phoneticPr fontId="2"/>
  </si>
  <si>
    <t>各部屋の利用状況表</t>
    <rPh sb="0" eb="3">
      <t>カクヘヤ</t>
    </rPh>
    <rPh sb="6" eb="8">
      <t>ジョウキョウ</t>
    </rPh>
    <rPh sb="8" eb="9">
      <t>ヒョウ</t>
    </rPh>
    <phoneticPr fontId="3"/>
  </si>
  <si>
    <t>部屋</t>
    <rPh sb="0" eb="2">
      <t>ヘヤ</t>
    </rPh>
    <phoneticPr fontId="3"/>
  </si>
  <si>
    <t>青少年団体</t>
    <rPh sb="0" eb="3">
      <t>セイショウネン</t>
    </rPh>
    <rPh sb="3" eb="5">
      <t>ダンタイ</t>
    </rPh>
    <phoneticPr fontId="3"/>
  </si>
  <si>
    <t>一般団体</t>
    <rPh sb="0" eb="2">
      <t>イッパン</t>
    </rPh>
    <rPh sb="2" eb="4">
      <t>ダンタイ</t>
    </rPh>
    <phoneticPr fontId="3"/>
  </si>
  <si>
    <t>利用料金値上げの検討</t>
    <rPh sb="2" eb="4">
      <t>リョウキン</t>
    </rPh>
    <rPh sb="4" eb="6">
      <t>ネア</t>
    </rPh>
    <rPh sb="8" eb="10">
      <t>ケントウ</t>
    </rPh>
    <phoneticPr fontId="5"/>
  </si>
  <si>
    <t>値上金額</t>
    <rPh sb="0" eb="2">
      <t>ネア</t>
    </rPh>
    <rPh sb="2" eb="4">
      <t>キンガク</t>
    </rPh>
    <phoneticPr fontId="5"/>
  </si>
  <si>
    <t>階</t>
    <rPh sb="0" eb="1">
      <t>カイ</t>
    </rPh>
    <phoneticPr fontId="5"/>
  </si>
  <si>
    <t>現利用料金</t>
    <rPh sb="0" eb="1">
      <t>ゲン</t>
    </rPh>
    <rPh sb="3" eb="4">
      <t>リョウ</t>
    </rPh>
    <rPh sb="4" eb="5">
      <t>キン</t>
    </rPh>
    <phoneticPr fontId="5"/>
  </si>
  <si>
    <t>新利用料金</t>
    <rPh sb="0" eb="1">
      <t>シン</t>
    </rPh>
    <rPh sb="3" eb="4">
      <t>リョウ</t>
    </rPh>
    <rPh sb="4" eb="5">
      <t>キン</t>
    </rPh>
    <phoneticPr fontId="5"/>
  </si>
  <si>
    <t>回数</t>
    <rPh sb="0" eb="2">
      <t>カイスウ</t>
    </rPh>
    <phoneticPr fontId="5"/>
  </si>
  <si>
    <t>現収入</t>
    <rPh sb="0" eb="1">
      <t>ゲン</t>
    </rPh>
    <rPh sb="1" eb="3">
      <t>シュウニュウ</t>
    </rPh>
    <phoneticPr fontId="5"/>
  </si>
  <si>
    <t>新収入</t>
    <rPh sb="0" eb="1">
      <t>シン</t>
    </rPh>
    <rPh sb="1" eb="3">
      <t>シュウニュウ</t>
    </rPh>
    <phoneticPr fontId="5"/>
  </si>
  <si>
    <t>計</t>
    <rPh sb="0" eb="1">
      <t>ケイ</t>
    </rPh>
    <phoneticPr fontId="5"/>
  </si>
  <si>
    <t>新収入の増加率</t>
    <rPh sb="0" eb="1">
      <t>シン</t>
    </rPh>
    <rPh sb="1" eb="3">
      <t>シュウニュウ</t>
    </rPh>
    <rPh sb="4" eb="6">
      <t>ゾウカ</t>
    </rPh>
    <rPh sb="6" eb="7">
      <t>リツ</t>
    </rPh>
    <phoneticPr fontId="5"/>
  </si>
  <si>
    <t>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</si>
</sst>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indexed="8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2" borderId="4" xfId="0" applyFont="1" applyFill="1" applyBorder="1" applyAlignment="1">
      <alignment horizontal="center" vertical="center"/>
    </xf>
    <xf numFmtId="0" fontId="4" fillId="0" borderId="4" xfId="0" applyFont="1" applyBorder="1">
      <alignment vertical="center"/>
    </xf>
    <xf numFmtId="38" fontId="4" fillId="0" borderId="4" xfId="1" applyFont="1" applyBorder="1">
      <alignment vertical="center"/>
    </xf>
    <xf numFmtId="0" fontId="4" fillId="2" borderId="1" xfId="0" applyFont="1" applyFill="1" applyBorder="1" applyAlignment="1">
      <alignment horizontal="centerContinuous" vertical="center"/>
    </xf>
    <xf numFmtId="0" fontId="4" fillId="2" borderId="2" xfId="0" applyFont="1" applyFill="1" applyBorder="1" applyAlignment="1">
      <alignment horizontal="centerContinuous" vertical="center"/>
    </xf>
    <xf numFmtId="176" fontId="4" fillId="0" borderId="4" xfId="0" applyNumberFormat="1" applyFont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0" borderId="2" xfId="0" applyFont="1" applyBorder="1">
      <alignment vertical="center"/>
    </xf>
    <xf numFmtId="0" fontId="8" fillId="0" borderId="3" xfId="0" applyFont="1" applyBorder="1">
      <alignment vertical="center"/>
    </xf>
    <xf numFmtId="0" fontId="8" fillId="0" borderId="0" xfId="0" applyFont="1">
      <alignment vertical="center"/>
    </xf>
    <xf numFmtId="0" fontId="8" fillId="2" borderId="4" xfId="0" applyFont="1" applyFill="1" applyBorder="1" applyAlignment="1">
      <alignment horizontal="center" vertical="center"/>
    </xf>
    <xf numFmtId="0" fontId="8" fillId="0" borderId="4" xfId="0" applyFont="1" applyBorder="1">
      <alignment vertical="center"/>
    </xf>
    <xf numFmtId="38" fontId="8" fillId="0" borderId="4" xfId="1" applyFont="1" applyBorder="1">
      <alignment vertical="center"/>
    </xf>
    <xf numFmtId="38" fontId="8" fillId="0" borderId="4" xfId="1" applyFont="1" applyFill="1" applyBorder="1">
      <alignment vertical="center"/>
    </xf>
    <xf numFmtId="0" fontId="8" fillId="0" borderId="5" xfId="0" applyFont="1" applyBorder="1">
      <alignment vertical="center"/>
    </xf>
    <xf numFmtId="14" fontId="8" fillId="0" borderId="4" xfId="0" applyNumberFormat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5"/>
  <sheetViews>
    <sheetView showGridLines="0" tabSelected="1" workbookViewId="0">
      <selection sqref="A1:XFD1048576"/>
    </sheetView>
  </sheetViews>
  <sheetFormatPr defaultRowHeight="18" x14ac:dyDescent="0.45"/>
  <cols>
    <col min="1" max="1" width="3.59765625" style="13" customWidth="1"/>
    <col min="2" max="2" width="10.5" style="13" customWidth="1"/>
    <col min="3" max="3" width="13.59765625" style="13" customWidth="1"/>
    <col min="4" max="4" width="14.59765625" style="13" customWidth="1"/>
    <col min="5" max="5" width="8.09765625" style="13" customWidth="1"/>
    <col min="6" max="7" width="9" style="13"/>
    <col min="8" max="8" width="13" style="13" bestFit="1" customWidth="1"/>
    <col min="9" max="9" width="5.19921875" style="13" bestFit="1" customWidth="1"/>
    <col min="10" max="16384" width="8.796875" style="13"/>
  </cols>
  <sheetData>
    <row r="1" spans="1:9" x14ac:dyDescent="0.45">
      <c r="A1" s="10" t="s">
        <v>0</v>
      </c>
      <c r="B1" s="11"/>
      <c r="C1" s="10"/>
      <c r="D1" s="11"/>
      <c r="E1" s="12"/>
      <c r="G1" s="13" t="s">
        <v>1</v>
      </c>
    </row>
    <row r="2" spans="1:9" x14ac:dyDescent="0.45">
      <c r="A2" s="10" t="s">
        <v>2</v>
      </c>
      <c r="B2" s="11"/>
      <c r="C2" s="10"/>
      <c r="D2" s="11"/>
      <c r="E2" s="12"/>
      <c r="G2" s="14" t="s">
        <v>3</v>
      </c>
      <c r="H2" s="14" t="s">
        <v>4</v>
      </c>
    </row>
    <row r="3" spans="1:9" x14ac:dyDescent="0.45">
      <c r="G3" s="15" t="s">
        <v>5</v>
      </c>
      <c r="H3" s="16">
        <v>2000</v>
      </c>
    </row>
    <row r="4" spans="1:9" x14ac:dyDescent="0.45">
      <c r="G4" s="15" t="s">
        <v>6</v>
      </c>
      <c r="H4" s="16">
        <v>2400</v>
      </c>
    </row>
    <row r="5" spans="1:9" x14ac:dyDescent="0.45">
      <c r="G5" s="15" t="s">
        <v>7</v>
      </c>
      <c r="H5" s="16">
        <v>3000</v>
      </c>
    </row>
    <row r="6" spans="1:9" x14ac:dyDescent="0.45">
      <c r="G6" s="15" t="s">
        <v>8</v>
      </c>
      <c r="H6" s="17">
        <v>2400</v>
      </c>
    </row>
    <row r="7" spans="1:9" x14ac:dyDescent="0.45">
      <c r="G7" s="15" t="s">
        <v>9</v>
      </c>
      <c r="H7" s="17">
        <v>2000</v>
      </c>
    </row>
    <row r="9" spans="1:9" x14ac:dyDescent="0.45">
      <c r="G9" s="13" t="s">
        <v>10</v>
      </c>
    </row>
    <row r="10" spans="1:9" x14ac:dyDescent="0.45">
      <c r="G10" s="15" t="s">
        <v>11</v>
      </c>
      <c r="H10" s="15" t="s">
        <v>12</v>
      </c>
    </row>
    <row r="11" spans="1:9" x14ac:dyDescent="0.45">
      <c r="G11" s="15" t="s">
        <v>13</v>
      </c>
      <c r="H11" s="16"/>
    </row>
    <row r="13" spans="1:9" x14ac:dyDescent="0.45">
      <c r="E13" s="10">
        <v>2016</v>
      </c>
      <c r="F13" s="18">
        <v>5</v>
      </c>
      <c r="G13" s="18">
        <v>1</v>
      </c>
      <c r="H13" s="11"/>
      <c r="I13" s="13" t="s">
        <v>14</v>
      </c>
    </row>
    <row r="15" spans="1:9" x14ac:dyDescent="0.45">
      <c r="B15" s="15" t="s">
        <v>15</v>
      </c>
      <c r="C15" s="15" t="s">
        <v>16</v>
      </c>
      <c r="D15" s="15" t="s">
        <v>17</v>
      </c>
      <c r="E15" s="15" t="s">
        <v>18</v>
      </c>
      <c r="F15" s="15" t="s">
        <v>11</v>
      </c>
      <c r="G15" s="15" t="s">
        <v>3</v>
      </c>
      <c r="H15" s="15" t="s">
        <v>4</v>
      </c>
      <c r="I15" s="15" t="s">
        <v>19</v>
      </c>
    </row>
    <row r="16" spans="1:9" x14ac:dyDescent="0.45">
      <c r="B16" s="15" t="s">
        <v>20</v>
      </c>
      <c r="C16" s="19">
        <v>41306</v>
      </c>
      <c r="D16" s="19">
        <v>42401</v>
      </c>
      <c r="E16" s="15" t="s">
        <v>21</v>
      </c>
      <c r="F16" s="15" t="s">
        <v>22</v>
      </c>
      <c r="G16" s="15" t="s">
        <v>5</v>
      </c>
      <c r="H16" s="15"/>
      <c r="I16" s="15"/>
    </row>
    <row r="17" spans="2:9" x14ac:dyDescent="0.45">
      <c r="B17" s="15" t="s">
        <v>23</v>
      </c>
      <c r="C17" s="19">
        <v>42005</v>
      </c>
      <c r="D17" s="19">
        <v>42370</v>
      </c>
      <c r="E17" s="15" t="s">
        <v>24</v>
      </c>
      <c r="F17" s="15" t="s">
        <v>25</v>
      </c>
      <c r="G17" s="15" t="s">
        <v>6</v>
      </c>
      <c r="H17" s="15"/>
      <c r="I17" s="15"/>
    </row>
    <row r="18" spans="2:9" x14ac:dyDescent="0.45">
      <c r="B18" s="15" t="s">
        <v>26</v>
      </c>
      <c r="C18" s="19">
        <v>41091</v>
      </c>
      <c r="D18" s="19">
        <v>42552</v>
      </c>
      <c r="E18" s="15" t="s">
        <v>27</v>
      </c>
      <c r="F18" s="15" t="s">
        <v>22</v>
      </c>
      <c r="G18" s="15" t="s">
        <v>28</v>
      </c>
      <c r="H18" s="15"/>
      <c r="I18" s="15"/>
    </row>
    <row r="19" spans="2:9" x14ac:dyDescent="0.45">
      <c r="B19" s="15" t="s">
        <v>29</v>
      </c>
      <c r="C19" s="19">
        <v>42217</v>
      </c>
      <c r="D19" s="19">
        <v>42583</v>
      </c>
      <c r="E19" s="15" t="s">
        <v>30</v>
      </c>
      <c r="F19" s="15" t="s">
        <v>22</v>
      </c>
      <c r="G19" s="15" t="s">
        <v>6</v>
      </c>
      <c r="H19" s="15"/>
      <c r="I19" s="15"/>
    </row>
    <row r="20" spans="2:9" x14ac:dyDescent="0.45">
      <c r="B20" s="15" t="s">
        <v>31</v>
      </c>
      <c r="C20" s="19">
        <v>41944</v>
      </c>
      <c r="D20" s="19">
        <v>42675</v>
      </c>
      <c r="E20" s="15" t="s">
        <v>21</v>
      </c>
      <c r="F20" s="15" t="s">
        <v>25</v>
      </c>
      <c r="G20" s="15" t="s">
        <v>32</v>
      </c>
      <c r="H20" s="15"/>
      <c r="I20" s="15"/>
    </row>
    <row r="21" spans="2:9" x14ac:dyDescent="0.45">
      <c r="B21" s="15" t="s">
        <v>33</v>
      </c>
      <c r="C21" s="19">
        <v>40544</v>
      </c>
      <c r="D21" s="19">
        <v>42370</v>
      </c>
      <c r="E21" s="15" t="s">
        <v>24</v>
      </c>
      <c r="F21" s="15" t="s">
        <v>22</v>
      </c>
      <c r="G21" s="15" t="s">
        <v>34</v>
      </c>
      <c r="H21" s="15"/>
      <c r="I21" s="15"/>
    </row>
    <row r="22" spans="2:9" x14ac:dyDescent="0.45">
      <c r="B22" s="15" t="s">
        <v>35</v>
      </c>
      <c r="C22" s="19">
        <v>40179</v>
      </c>
      <c r="D22" s="19">
        <v>42370</v>
      </c>
      <c r="E22" s="15" t="s">
        <v>24</v>
      </c>
      <c r="F22" s="15" t="s">
        <v>25</v>
      </c>
      <c r="G22" s="15" t="s">
        <v>6</v>
      </c>
      <c r="H22" s="15"/>
      <c r="I22" s="15"/>
    </row>
    <row r="23" spans="2:9" x14ac:dyDescent="0.45">
      <c r="B23" s="15" t="s">
        <v>36</v>
      </c>
      <c r="C23" s="19">
        <v>41760</v>
      </c>
      <c r="D23" s="19">
        <v>42491</v>
      </c>
      <c r="E23" s="15" t="s">
        <v>37</v>
      </c>
      <c r="F23" s="15" t="s">
        <v>25</v>
      </c>
      <c r="G23" s="15" t="s">
        <v>28</v>
      </c>
      <c r="H23" s="15"/>
      <c r="I23" s="15"/>
    </row>
    <row r="24" spans="2:9" x14ac:dyDescent="0.45">
      <c r="B24" s="15" t="s">
        <v>38</v>
      </c>
      <c r="C24" s="19">
        <v>42036</v>
      </c>
      <c r="D24" s="19">
        <v>42401</v>
      </c>
      <c r="E24" s="15" t="s">
        <v>21</v>
      </c>
      <c r="F24" s="15" t="s">
        <v>22</v>
      </c>
      <c r="G24" s="15" t="s">
        <v>5</v>
      </c>
      <c r="H24" s="15"/>
      <c r="I24" s="15"/>
    </row>
    <row r="25" spans="2:9" x14ac:dyDescent="0.45">
      <c r="B25" s="15" t="s">
        <v>39</v>
      </c>
      <c r="C25" s="19">
        <v>42186</v>
      </c>
      <c r="D25" s="19">
        <v>42552</v>
      </c>
      <c r="E25" s="15" t="s">
        <v>27</v>
      </c>
      <c r="F25" s="15" t="s">
        <v>22</v>
      </c>
      <c r="G25" s="15" t="s">
        <v>34</v>
      </c>
      <c r="H25" s="15"/>
      <c r="I25" s="15"/>
    </row>
    <row r="26" spans="2:9" x14ac:dyDescent="0.45">
      <c r="B26" s="15" t="s">
        <v>40</v>
      </c>
      <c r="C26" s="19">
        <v>42248</v>
      </c>
      <c r="D26" s="19">
        <v>42614</v>
      </c>
      <c r="E26" s="15" t="s">
        <v>41</v>
      </c>
      <c r="F26" s="15" t="s">
        <v>22</v>
      </c>
      <c r="G26" s="15" t="s">
        <v>42</v>
      </c>
      <c r="H26" s="15"/>
      <c r="I26" s="15"/>
    </row>
    <row r="27" spans="2:9" x14ac:dyDescent="0.45">
      <c r="B27" s="15" t="s">
        <v>43</v>
      </c>
      <c r="C27" s="19">
        <v>41640</v>
      </c>
      <c r="D27" s="19">
        <v>42370</v>
      </c>
      <c r="E27" s="15" t="s">
        <v>24</v>
      </c>
      <c r="F27" s="15" t="s">
        <v>25</v>
      </c>
      <c r="G27" s="15" t="s">
        <v>44</v>
      </c>
      <c r="H27" s="15"/>
      <c r="I27" s="15"/>
    </row>
    <row r="28" spans="2:9" x14ac:dyDescent="0.45">
      <c r="B28" s="15" t="s">
        <v>45</v>
      </c>
      <c r="C28" s="19">
        <v>40664</v>
      </c>
      <c r="D28" s="19">
        <v>42491</v>
      </c>
      <c r="E28" s="15" t="s">
        <v>37</v>
      </c>
      <c r="F28" s="15" t="s">
        <v>22</v>
      </c>
      <c r="G28" s="15" t="s">
        <v>44</v>
      </c>
      <c r="H28" s="15"/>
      <c r="I28" s="15"/>
    </row>
    <row r="29" spans="2:9" x14ac:dyDescent="0.45">
      <c r="B29" s="15" t="s">
        <v>46</v>
      </c>
      <c r="C29" s="19">
        <v>41365</v>
      </c>
      <c r="D29" s="19">
        <v>42461</v>
      </c>
      <c r="E29" s="15" t="s">
        <v>27</v>
      </c>
      <c r="F29" s="15" t="s">
        <v>25</v>
      </c>
      <c r="G29" s="15" t="s">
        <v>42</v>
      </c>
      <c r="H29" s="15"/>
      <c r="I29" s="15"/>
    </row>
    <row r="30" spans="2:9" x14ac:dyDescent="0.45">
      <c r="B30" s="15" t="s">
        <v>47</v>
      </c>
      <c r="C30" s="19">
        <v>41852</v>
      </c>
      <c r="D30" s="19">
        <v>42583</v>
      </c>
      <c r="E30" s="15" t="s">
        <v>30</v>
      </c>
      <c r="F30" s="15" t="s">
        <v>25</v>
      </c>
      <c r="G30" s="15" t="s">
        <v>5</v>
      </c>
      <c r="H30" s="15"/>
      <c r="I30" s="15"/>
    </row>
    <row r="31" spans="2:9" x14ac:dyDescent="0.45">
      <c r="B31" s="15" t="s">
        <v>48</v>
      </c>
      <c r="C31" s="19">
        <v>40817</v>
      </c>
      <c r="D31" s="19">
        <v>42370</v>
      </c>
      <c r="E31" s="15" t="s">
        <v>24</v>
      </c>
      <c r="F31" s="15" t="s">
        <v>25</v>
      </c>
      <c r="G31" s="15" t="s">
        <v>34</v>
      </c>
      <c r="H31" s="15"/>
      <c r="I31" s="15"/>
    </row>
    <row r="32" spans="2:9" x14ac:dyDescent="0.45">
      <c r="B32" s="15" t="s">
        <v>49</v>
      </c>
      <c r="C32" s="19">
        <v>41275</v>
      </c>
      <c r="D32" s="19">
        <v>42614</v>
      </c>
      <c r="E32" s="15" t="s">
        <v>41</v>
      </c>
      <c r="F32" s="15" t="s">
        <v>25</v>
      </c>
      <c r="G32" s="15" t="s">
        <v>6</v>
      </c>
      <c r="H32" s="15"/>
      <c r="I32" s="15"/>
    </row>
    <row r="33" spans="2:9" x14ac:dyDescent="0.45">
      <c r="B33" s="15" t="s">
        <v>53</v>
      </c>
      <c r="C33" s="19">
        <v>41334</v>
      </c>
      <c r="D33" s="19">
        <v>42401</v>
      </c>
      <c r="E33" s="15" t="s">
        <v>21</v>
      </c>
      <c r="F33" s="15" t="s">
        <v>22</v>
      </c>
      <c r="G33" s="15" t="s">
        <v>42</v>
      </c>
      <c r="H33" s="15"/>
      <c r="I33" s="15"/>
    </row>
    <row r="34" spans="2:9" x14ac:dyDescent="0.45">
      <c r="B34" s="15" t="s">
        <v>50</v>
      </c>
      <c r="C34" s="19">
        <v>41000</v>
      </c>
      <c r="D34" s="19">
        <v>42370</v>
      </c>
      <c r="E34" s="15" t="s">
        <v>24</v>
      </c>
      <c r="F34" s="15" t="s">
        <v>22</v>
      </c>
      <c r="G34" s="15" t="s">
        <v>28</v>
      </c>
      <c r="H34" s="15"/>
      <c r="I34" s="15"/>
    </row>
    <row r="35" spans="2:9" x14ac:dyDescent="0.45">
      <c r="B35" s="15" t="s">
        <v>54</v>
      </c>
      <c r="C35" s="19">
        <v>42005</v>
      </c>
      <c r="D35" s="19">
        <v>42552</v>
      </c>
      <c r="E35" s="15" t="s">
        <v>27</v>
      </c>
      <c r="F35" s="15" t="s">
        <v>25</v>
      </c>
      <c r="G35" s="15" t="s">
        <v>5</v>
      </c>
      <c r="H35" s="15"/>
      <c r="I35" s="15"/>
    </row>
    <row r="36" spans="2:9" x14ac:dyDescent="0.45">
      <c r="B36" s="15" t="s">
        <v>55</v>
      </c>
      <c r="C36" s="19">
        <v>40210</v>
      </c>
      <c r="D36" s="19">
        <v>42583</v>
      </c>
      <c r="E36" s="15" t="s">
        <v>30</v>
      </c>
      <c r="F36" s="15" t="s">
        <v>25</v>
      </c>
      <c r="G36" s="15" t="s">
        <v>32</v>
      </c>
      <c r="H36" s="15"/>
      <c r="I36" s="15"/>
    </row>
    <row r="37" spans="2:9" x14ac:dyDescent="0.45">
      <c r="B37" s="15" t="s">
        <v>56</v>
      </c>
      <c r="C37" s="19">
        <v>41244</v>
      </c>
      <c r="D37" s="19">
        <v>42675</v>
      </c>
      <c r="E37" s="15" t="s">
        <v>21</v>
      </c>
      <c r="F37" s="15" t="s">
        <v>22</v>
      </c>
      <c r="G37" s="15" t="s">
        <v>34</v>
      </c>
      <c r="H37" s="15"/>
      <c r="I37" s="15"/>
    </row>
    <row r="38" spans="2:9" x14ac:dyDescent="0.45">
      <c r="B38" s="15" t="s">
        <v>51</v>
      </c>
      <c r="C38" s="19">
        <v>41456</v>
      </c>
      <c r="D38" s="19">
        <v>42370</v>
      </c>
      <c r="E38" s="15" t="s">
        <v>24</v>
      </c>
      <c r="F38" s="15" t="s">
        <v>22</v>
      </c>
      <c r="G38" s="15" t="s">
        <v>5</v>
      </c>
      <c r="H38" s="15"/>
      <c r="I38" s="15"/>
    </row>
    <row r="39" spans="2:9" x14ac:dyDescent="0.45">
      <c r="B39" s="15" t="s">
        <v>57</v>
      </c>
      <c r="C39" s="19">
        <v>41214</v>
      </c>
      <c r="D39" s="19">
        <v>42370</v>
      </c>
      <c r="E39" s="15" t="s">
        <v>24</v>
      </c>
      <c r="F39" s="15" t="s">
        <v>25</v>
      </c>
      <c r="G39" s="15" t="s">
        <v>6</v>
      </c>
      <c r="H39" s="15"/>
      <c r="I39" s="15"/>
    </row>
    <row r="40" spans="2:9" x14ac:dyDescent="0.45">
      <c r="B40" s="15" t="s">
        <v>58</v>
      </c>
      <c r="C40" s="19">
        <v>40664</v>
      </c>
      <c r="D40" s="19">
        <v>42491</v>
      </c>
      <c r="E40" s="15" t="s">
        <v>37</v>
      </c>
      <c r="F40" s="15" t="s">
        <v>25</v>
      </c>
      <c r="G40" s="15" t="s">
        <v>6</v>
      </c>
      <c r="H40" s="15"/>
      <c r="I40" s="15"/>
    </row>
    <row r="41" spans="2:9" x14ac:dyDescent="0.45">
      <c r="B41" s="15" t="s">
        <v>59</v>
      </c>
      <c r="C41" s="19">
        <v>40422</v>
      </c>
      <c r="D41" s="19">
        <v>42401</v>
      </c>
      <c r="E41" s="15" t="s">
        <v>21</v>
      </c>
      <c r="F41" s="15" t="s">
        <v>25</v>
      </c>
      <c r="G41" s="15" t="s">
        <v>28</v>
      </c>
      <c r="H41" s="15"/>
      <c r="I41" s="15"/>
    </row>
    <row r="42" spans="2:9" x14ac:dyDescent="0.45">
      <c r="B42" s="15" t="s">
        <v>60</v>
      </c>
      <c r="C42" s="19">
        <v>40756</v>
      </c>
      <c r="D42" s="19">
        <v>42583</v>
      </c>
      <c r="E42" s="15" t="s">
        <v>30</v>
      </c>
      <c r="F42" s="15" t="s">
        <v>22</v>
      </c>
      <c r="G42" s="15" t="s">
        <v>34</v>
      </c>
      <c r="H42" s="15"/>
      <c r="I42" s="15"/>
    </row>
    <row r="43" spans="2:9" x14ac:dyDescent="0.45">
      <c r="B43" s="15" t="s">
        <v>52</v>
      </c>
      <c r="C43" s="19">
        <v>41944</v>
      </c>
      <c r="D43" s="19">
        <v>42370</v>
      </c>
      <c r="E43" s="15" t="s">
        <v>24</v>
      </c>
      <c r="F43" s="15" t="s">
        <v>25</v>
      </c>
      <c r="G43" s="15" t="s">
        <v>32</v>
      </c>
      <c r="H43" s="15"/>
      <c r="I43" s="15"/>
    </row>
    <row r="44" spans="2:9" x14ac:dyDescent="0.45">
      <c r="B44" s="15" t="s">
        <v>61</v>
      </c>
      <c r="C44" s="19">
        <v>41183</v>
      </c>
      <c r="D44" s="19">
        <v>42614</v>
      </c>
      <c r="E44" s="15" t="s">
        <v>41</v>
      </c>
      <c r="F44" s="15" t="s">
        <v>22</v>
      </c>
      <c r="G44" s="15" t="s">
        <v>5</v>
      </c>
      <c r="H44" s="15"/>
      <c r="I44" s="15"/>
    </row>
    <row r="45" spans="2:9" x14ac:dyDescent="0.45">
      <c r="B45" s="15" t="s">
        <v>62</v>
      </c>
      <c r="C45" s="19">
        <v>40634</v>
      </c>
      <c r="D45" s="19">
        <v>42522</v>
      </c>
      <c r="E45" s="15" t="s">
        <v>77</v>
      </c>
      <c r="F45" s="15" t="s">
        <v>22</v>
      </c>
      <c r="G45" s="15" t="s">
        <v>28</v>
      </c>
      <c r="H45" s="15"/>
      <c r="I45" s="15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D9"/>
  <sheetViews>
    <sheetView showGridLines="0" workbookViewId="0"/>
  </sheetViews>
  <sheetFormatPr defaultRowHeight="18" x14ac:dyDescent="0.45"/>
  <cols>
    <col min="1" max="1" width="3.59765625" customWidth="1"/>
    <col min="3" max="3" width="10.59765625" customWidth="1"/>
    <col min="4" max="4" width="11.59765625" customWidth="1"/>
  </cols>
  <sheetData>
    <row r="2" spans="2:4" x14ac:dyDescent="0.45">
      <c r="B2" t="s">
        <v>63</v>
      </c>
    </row>
    <row r="4" spans="2:4" x14ac:dyDescent="0.45">
      <c r="B4" s="2" t="s">
        <v>64</v>
      </c>
      <c r="C4" s="2" t="s">
        <v>65</v>
      </c>
      <c r="D4" s="2" t="s">
        <v>66</v>
      </c>
    </row>
    <row r="5" spans="2:4" x14ac:dyDescent="0.45">
      <c r="B5" s="3" t="s">
        <v>5</v>
      </c>
      <c r="C5" s="3">
        <v>2</v>
      </c>
      <c r="D5" s="3">
        <v>4</v>
      </c>
    </row>
    <row r="6" spans="2:4" x14ac:dyDescent="0.45">
      <c r="B6" s="3" t="s">
        <v>6</v>
      </c>
      <c r="C6" s="3">
        <v>6</v>
      </c>
      <c r="D6" s="3">
        <v>2</v>
      </c>
    </row>
    <row r="7" spans="2:4" x14ac:dyDescent="0.45">
      <c r="B7" s="3" t="s">
        <v>7</v>
      </c>
      <c r="C7" s="3">
        <v>2</v>
      </c>
      <c r="D7" s="3">
        <v>3</v>
      </c>
    </row>
    <row r="8" spans="2:4" x14ac:dyDescent="0.45">
      <c r="B8" s="3" t="s">
        <v>8</v>
      </c>
      <c r="C8" s="3">
        <v>4</v>
      </c>
      <c r="D8" s="3">
        <v>2</v>
      </c>
    </row>
    <row r="9" spans="2:4" x14ac:dyDescent="0.45">
      <c r="B9" s="3" t="s">
        <v>9</v>
      </c>
      <c r="C9" s="3">
        <v>1</v>
      </c>
      <c r="D9" s="3">
        <v>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1"/>
  <sheetViews>
    <sheetView showGridLines="0" workbookViewId="0"/>
  </sheetViews>
  <sheetFormatPr defaultRowHeight="18" x14ac:dyDescent="0.45"/>
  <cols>
    <col min="1" max="1" width="3.59765625" customWidth="1"/>
    <col min="2" max="2" width="4.59765625" customWidth="1"/>
    <col min="3" max="4" width="10.59765625" customWidth="1"/>
    <col min="5" max="5" width="5.59765625" customWidth="1"/>
    <col min="6" max="7" width="9.59765625" customWidth="1"/>
  </cols>
  <sheetData>
    <row r="1" spans="1:7" x14ac:dyDescent="0.45">
      <c r="A1" s="1"/>
      <c r="B1" s="1"/>
      <c r="C1" s="1"/>
      <c r="D1" s="1"/>
      <c r="E1" s="1"/>
      <c r="F1" s="1"/>
      <c r="G1" s="1"/>
    </row>
    <row r="2" spans="1:7" ht="22.2" x14ac:dyDescent="0.45">
      <c r="A2" s="1"/>
      <c r="B2" s="8" t="s">
        <v>67</v>
      </c>
      <c r="C2" s="9"/>
      <c r="D2" s="9"/>
      <c r="E2" s="1"/>
      <c r="F2" s="1"/>
      <c r="G2" s="1"/>
    </row>
    <row r="3" spans="1:7" x14ac:dyDescent="0.45">
      <c r="A3" s="1"/>
      <c r="B3" s="1"/>
      <c r="C3" s="1"/>
      <c r="D3" s="1"/>
      <c r="E3" s="1"/>
      <c r="F3" s="1"/>
      <c r="G3" s="1"/>
    </row>
    <row r="4" spans="1:7" x14ac:dyDescent="0.45">
      <c r="A4" s="1"/>
      <c r="B4" s="1"/>
      <c r="C4" s="2" t="s">
        <v>68</v>
      </c>
      <c r="D4" s="4"/>
      <c r="E4" s="1"/>
      <c r="F4" s="1"/>
      <c r="G4" s="1"/>
    </row>
    <row r="5" spans="1:7" x14ac:dyDescent="0.45">
      <c r="A5" s="1"/>
      <c r="B5" s="1"/>
      <c r="C5" s="1"/>
      <c r="D5" s="1"/>
      <c r="E5" s="1"/>
      <c r="F5" s="1"/>
      <c r="G5" s="1"/>
    </row>
    <row r="6" spans="1:7" x14ac:dyDescent="0.45">
      <c r="A6" s="1"/>
      <c r="B6" s="2" t="s">
        <v>69</v>
      </c>
      <c r="C6" s="2" t="s">
        <v>70</v>
      </c>
      <c r="D6" s="2" t="s">
        <v>71</v>
      </c>
      <c r="E6" s="2" t="s">
        <v>72</v>
      </c>
      <c r="F6" s="2" t="s">
        <v>73</v>
      </c>
      <c r="G6" s="2" t="s">
        <v>74</v>
      </c>
    </row>
    <row r="7" spans="1:7" x14ac:dyDescent="0.45">
      <c r="A7" s="1"/>
      <c r="B7" s="3">
        <v>1</v>
      </c>
      <c r="C7" s="4">
        <v>2000</v>
      </c>
      <c r="D7" s="4">
        <f>C7+$D$4</f>
        <v>2000</v>
      </c>
      <c r="E7" s="3">
        <v>6</v>
      </c>
      <c r="F7" s="4">
        <f>C7*E7</f>
        <v>12000</v>
      </c>
      <c r="G7" s="4">
        <f>D7*E7</f>
        <v>12000</v>
      </c>
    </row>
    <row r="8" spans="1:7" x14ac:dyDescent="0.45">
      <c r="A8" s="1"/>
      <c r="B8" s="3">
        <v>2</v>
      </c>
      <c r="C8" s="4">
        <v>2400</v>
      </c>
      <c r="D8" s="4">
        <f>C8+$D$4</f>
        <v>2400</v>
      </c>
      <c r="E8" s="3">
        <v>5</v>
      </c>
      <c r="F8" s="4">
        <f>C8*E8</f>
        <v>12000</v>
      </c>
      <c r="G8" s="4">
        <f>D8*E8</f>
        <v>12000</v>
      </c>
    </row>
    <row r="9" spans="1:7" x14ac:dyDescent="0.45">
      <c r="A9" s="1"/>
      <c r="B9" s="3">
        <v>3</v>
      </c>
      <c r="C9" s="4">
        <v>3000</v>
      </c>
      <c r="D9" s="4">
        <f>C9+$D$4</f>
        <v>3000</v>
      </c>
      <c r="E9" s="3">
        <v>7</v>
      </c>
      <c r="F9" s="4">
        <f>C9*E9</f>
        <v>21000</v>
      </c>
      <c r="G9" s="4">
        <f>D9*E9</f>
        <v>21000</v>
      </c>
    </row>
    <row r="10" spans="1:7" x14ac:dyDescent="0.45">
      <c r="A10" s="1"/>
      <c r="B10" s="1"/>
      <c r="C10" s="1"/>
      <c r="D10" s="1"/>
      <c r="E10" s="2" t="s">
        <v>75</v>
      </c>
      <c r="F10" s="4">
        <f>SUM(F7:F9)</f>
        <v>45000</v>
      </c>
      <c r="G10" s="4">
        <f>SUM(G7:G9)</f>
        <v>45000</v>
      </c>
    </row>
    <row r="11" spans="1:7" x14ac:dyDescent="0.45">
      <c r="A11" s="1"/>
      <c r="B11" s="1"/>
      <c r="C11" s="1"/>
      <c r="D11" s="1"/>
      <c r="E11" s="5" t="s">
        <v>76</v>
      </c>
      <c r="F11" s="6"/>
      <c r="G11" s="7">
        <f>G10/F10-1</f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利用状況</vt:lpstr>
      <vt:lpstr>各部屋状況</vt:lpstr>
      <vt:lpstr>値上げ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Certify</dc:creator>
  <cp:lastModifiedBy>杜和 鈴木</cp:lastModifiedBy>
  <dcterms:created xsi:type="dcterms:W3CDTF">2016-05-26T06:28:02Z</dcterms:created>
  <dcterms:modified xsi:type="dcterms:W3CDTF">2026-02-05T02:42:18Z</dcterms:modified>
</cp:coreProperties>
</file>