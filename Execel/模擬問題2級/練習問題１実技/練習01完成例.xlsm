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030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Thinkpadedge-3\栗原公開\Excel2016実技データ\1・2級_実技用データ_20160725更新\2級実技練習問題\実技練習問題1\正答例\"/>
    </mc:Choice>
  </mc:AlternateContent>
  <bookViews>
    <workbookView xWindow="0" yWindow="0" windowWidth="16200" windowHeight="12225" activeTab="1"/>
  </bookViews>
  <sheets>
    <sheet name="ピボット" sheetId="4" r:id="rId1"/>
    <sheet name="利用状況" sheetId="1" r:id="rId2"/>
    <sheet name="各部屋状況" sheetId="2" r:id="rId3"/>
    <sheet name="値上げ" sheetId="3" r:id="rId4"/>
  </sheets>
  <calcPr calcId="162913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1" i="1" l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16" i="1"/>
  <c r="H13" i="1"/>
  <c r="F9" i="3" l="1"/>
  <c r="D9" i="3"/>
  <c r="G9" i="3" s="1"/>
  <c r="F8" i="3"/>
  <c r="D8" i="3"/>
  <c r="G8" i="3" s="1"/>
  <c r="F7" i="3"/>
  <c r="F10" i="3" s="1"/>
  <c r="D7" i="3"/>
  <c r="G7" i="3" s="1"/>
  <c r="G10" i="3" l="1"/>
  <c r="G11" i="3" s="1"/>
</calcChain>
</file>

<file path=xl/sharedStrings.xml><?xml version="1.0" encoding="utf-8"?>
<sst xmlns="http://schemas.openxmlformats.org/spreadsheetml/2006/main" count="203" uniqueCount="96">
  <si>
    <t>受験番号</t>
    <rPh sb="0" eb="2">
      <t>ジュケン</t>
    </rPh>
    <rPh sb="2" eb="4">
      <t>バンゴウ</t>
    </rPh>
    <phoneticPr fontId="3"/>
  </si>
  <si>
    <t>料金表</t>
    <rPh sb="0" eb="2">
      <t>リョウキン</t>
    </rPh>
    <rPh sb="2" eb="3">
      <t>ヒョウ</t>
    </rPh>
    <phoneticPr fontId="3"/>
  </si>
  <si>
    <t>受験者氏名</t>
    <rPh sb="0" eb="3">
      <t>ジュケンシャ</t>
    </rPh>
    <rPh sb="3" eb="5">
      <t>シメイ</t>
    </rPh>
    <phoneticPr fontId="3"/>
  </si>
  <si>
    <t>利用部屋</t>
    <rPh sb="0" eb="2">
      <t>リヨウ</t>
    </rPh>
    <rPh sb="2" eb="4">
      <t>ヘヤ</t>
    </rPh>
    <phoneticPr fontId="3"/>
  </si>
  <si>
    <t>利用料金</t>
    <rPh sb="2" eb="4">
      <t>リョウキン</t>
    </rPh>
    <phoneticPr fontId="3"/>
  </si>
  <si>
    <t>講習室</t>
    <rPh sb="0" eb="2">
      <t>コウシュウ</t>
    </rPh>
    <rPh sb="2" eb="3">
      <t>シツ</t>
    </rPh>
    <phoneticPr fontId="3"/>
  </si>
  <si>
    <t>音楽室</t>
    <rPh sb="0" eb="2">
      <t>オンガク</t>
    </rPh>
    <rPh sb="2" eb="3">
      <t>シツ</t>
    </rPh>
    <phoneticPr fontId="3"/>
  </si>
  <si>
    <t>大会議室</t>
    <rPh sb="0" eb="3">
      <t>ダイカイギ</t>
    </rPh>
    <rPh sb="3" eb="4">
      <t>シツ</t>
    </rPh>
    <phoneticPr fontId="3"/>
  </si>
  <si>
    <t>中会議室</t>
    <rPh sb="0" eb="1">
      <t>チュウ</t>
    </rPh>
    <rPh sb="1" eb="4">
      <t>カイギシツ</t>
    </rPh>
    <phoneticPr fontId="2"/>
  </si>
  <si>
    <t>小会議室</t>
    <rPh sb="0" eb="4">
      <t>ショウカイギシツ</t>
    </rPh>
    <phoneticPr fontId="2"/>
  </si>
  <si>
    <t>団体別利用料合計</t>
    <rPh sb="0" eb="2">
      <t>ダンタイ</t>
    </rPh>
    <rPh sb="2" eb="3">
      <t>ベツ</t>
    </rPh>
    <rPh sb="6" eb="8">
      <t>ゴウケイ</t>
    </rPh>
    <phoneticPr fontId="3"/>
  </si>
  <si>
    <t>利用団体</t>
    <rPh sb="0" eb="2">
      <t>リヨウ</t>
    </rPh>
    <rPh sb="2" eb="4">
      <t>ダンタイ</t>
    </rPh>
    <phoneticPr fontId="3"/>
  </si>
  <si>
    <t>利用料金合計</t>
    <rPh sb="2" eb="4">
      <t>リョウキン</t>
    </rPh>
    <rPh sb="4" eb="6">
      <t>ゴウケイ</t>
    </rPh>
    <phoneticPr fontId="3"/>
  </si>
  <si>
    <t>一般</t>
  </si>
  <si>
    <t>現在</t>
    <rPh sb="0" eb="2">
      <t>ゲンザイ</t>
    </rPh>
    <phoneticPr fontId="3"/>
  </si>
  <si>
    <t>利用番号</t>
    <rPh sb="0" eb="2">
      <t>リヨウ</t>
    </rPh>
    <rPh sb="2" eb="4">
      <t>バンゴウ</t>
    </rPh>
    <phoneticPr fontId="3"/>
  </si>
  <si>
    <t>利用開始年月</t>
    <rPh sb="2" eb="4">
      <t>カイシ</t>
    </rPh>
    <rPh sb="4" eb="5">
      <t>ネン</t>
    </rPh>
    <rPh sb="5" eb="6">
      <t>ガツ</t>
    </rPh>
    <phoneticPr fontId="3"/>
  </si>
  <si>
    <t>更新予定年月</t>
    <rPh sb="0" eb="2">
      <t>コウシン</t>
    </rPh>
    <rPh sb="2" eb="4">
      <t>ヨテイ</t>
    </rPh>
    <rPh sb="4" eb="5">
      <t>ネン</t>
    </rPh>
    <rPh sb="5" eb="6">
      <t>ガツ</t>
    </rPh>
    <phoneticPr fontId="3"/>
  </si>
  <si>
    <t>曜日</t>
    <rPh sb="0" eb="2">
      <t>ヨウビ</t>
    </rPh>
    <phoneticPr fontId="3"/>
  </si>
  <si>
    <t>更新</t>
    <rPh sb="0" eb="2">
      <t>コウシン</t>
    </rPh>
    <phoneticPr fontId="3"/>
  </si>
  <si>
    <t>H02014</t>
  </si>
  <si>
    <t>金</t>
  </si>
  <si>
    <t>一般</t>
    <rPh sb="0" eb="2">
      <t>イッパン</t>
    </rPh>
    <phoneticPr fontId="3"/>
  </si>
  <si>
    <t>H02019</t>
  </si>
  <si>
    <t>火</t>
  </si>
  <si>
    <t>青少年</t>
    <rPh sb="0" eb="3">
      <t>セイショウネン</t>
    </rPh>
    <phoneticPr fontId="3"/>
  </si>
  <si>
    <t>H02223</t>
  </si>
  <si>
    <t>月</t>
  </si>
  <si>
    <t>大会議室</t>
    <rPh sb="0" eb="4">
      <t>ダイカイギシツ</t>
    </rPh>
    <phoneticPr fontId="3"/>
  </si>
  <si>
    <t>H03013</t>
  </si>
  <si>
    <t>木</t>
  </si>
  <si>
    <t>H03020</t>
  </si>
  <si>
    <t>中会議室</t>
    <rPh sb="0" eb="1">
      <t>チュウ</t>
    </rPh>
    <rPh sb="1" eb="3">
      <t>カイギ</t>
    </rPh>
    <rPh sb="3" eb="4">
      <t>シツ</t>
    </rPh>
    <phoneticPr fontId="3"/>
  </si>
  <si>
    <t>H03029</t>
  </si>
  <si>
    <t>小会議室</t>
    <rPh sb="0" eb="4">
      <t>ショウカイギシツ</t>
    </rPh>
    <phoneticPr fontId="3"/>
  </si>
  <si>
    <t>H04015</t>
  </si>
  <si>
    <t>H04018</t>
  </si>
  <si>
    <t>水</t>
  </si>
  <si>
    <t>H04029</t>
  </si>
  <si>
    <t>S02555</t>
  </si>
  <si>
    <t>S02558</t>
  </si>
  <si>
    <t>日</t>
  </si>
  <si>
    <t>中会議室</t>
    <rPh sb="0" eb="1">
      <t>チュウ</t>
    </rPh>
    <rPh sb="1" eb="4">
      <t>カイギシツ</t>
    </rPh>
    <phoneticPr fontId="3"/>
  </si>
  <si>
    <t>S02563</t>
  </si>
  <si>
    <t>音楽室</t>
    <rPh sb="0" eb="3">
      <t>オンガクシツ</t>
    </rPh>
    <phoneticPr fontId="3"/>
  </si>
  <si>
    <t>S03010</t>
  </si>
  <si>
    <t>S03123</t>
  </si>
  <si>
    <t>S03378</t>
  </si>
  <si>
    <t>S04129</t>
  </si>
  <si>
    <t>S04225</t>
  </si>
  <si>
    <t>K02465</t>
    <phoneticPr fontId="2"/>
  </si>
  <si>
    <t>K04359</t>
    <phoneticPr fontId="2"/>
  </si>
  <si>
    <t>M02945</t>
    <phoneticPr fontId="2"/>
  </si>
  <si>
    <t>土</t>
  </si>
  <si>
    <t>K01487</t>
    <phoneticPr fontId="2"/>
  </si>
  <si>
    <t>K03151</t>
    <phoneticPr fontId="2"/>
  </si>
  <si>
    <t>K03789</t>
    <phoneticPr fontId="2"/>
  </si>
  <si>
    <t>K04298</t>
    <phoneticPr fontId="2"/>
  </si>
  <si>
    <t>K05236</t>
    <phoneticPr fontId="2"/>
  </si>
  <si>
    <t>M01864</t>
    <phoneticPr fontId="2"/>
  </si>
  <si>
    <t>M02326</t>
    <phoneticPr fontId="2"/>
  </si>
  <si>
    <t>M02890</t>
    <phoneticPr fontId="2"/>
  </si>
  <si>
    <t>M03090</t>
    <phoneticPr fontId="2"/>
  </si>
  <si>
    <t>M04093</t>
    <phoneticPr fontId="2"/>
  </si>
  <si>
    <t>各部屋の利用状況表</t>
    <rPh sb="0" eb="3">
      <t>カクヘヤ</t>
    </rPh>
    <rPh sb="6" eb="8">
      <t>ジョウキョウ</t>
    </rPh>
    <rPh sb="8" eb="9">
      <t>ヒョウ</t>
    </rPh>
    <phoneticPr fontId="3"/>
  </si>
  <si>
    <t>部屋</t>
    <rPh sb="0" eb="2">
      <t>ヘヤ</t>
    </rPh>
    <phoneticPr fontId="3"/>
  </si>
  <si>
    <t>青少年団体</t>
    <rPh sb="0" eb="3">
      <t>セイショウネン</t>
    </rPh>
    <rPh sb="3" eb="5">
      <t>ダンタイ</t>
    </rPh>
    <phoneticPr fontId="3"/>
  </si>
  <si>
    <t>一般団体</t>
    <rPh sb="0" eb="2">
      <t>イッパン</t>
    </rPh>
    <rPh sb="2" eb="4">
      <t>ダンタイ</t>
    </rPh>
    <phoneticPr fontId="3"/>
  </si>
  <si>
    <t>利用料金値上げの検討</t>
    <rPh sb="2" eb="4">
      <t>リョウキン</t>
    </rPh>
    <rPh sb="4" eb="6">
      <t>ネア</t>
    </rPh>
    <rPh sb="8" eb="10">
      <t>ケントウ</t>
    </rPh>
    <phoneticPr fontId="5"/>
  </si>
  <si>
    <t>値上金額</t>
    <rPh sb="0" eb="2">
      <t>ネア</t>
    </rPh>
    <rPh sb="2" eb="4">
      <t>キンガク</t>
    </rPh>
    <phoneticPr fontId="5"/>
  </si>
  <si>
    <t>階</t>
    <rPh sb="0" eb="1">
      <t>カイ</t>
    </rPh>
    <phoneticPr fontId="5"/>
  </si>
  <si>
    <t>現利用料金</t>
    <rPh sb="0" eb="1">
      <t>ゲン</t>
    </rPh>
    <rPh sb="3" eb="4">
      <t>リョウ</t>
    </rPh>
    <rPh sb="4" eb="5">
      <t>キン</t>
    </rPh>
    <phoneticPr fontId="5"/>
  </si>
  <si>
    <t>新利用料金</t>
    <rPh sb="0" eb="1">
      <t>シン</t>
    </rPh>
    <rPh sb="3" eb="4">
      <t>リョウ</t>
    </rPh>
    <rPh sb="4" eb="5">
      <t>キン</t>
    </rPh>
    <phoneticPr fontId="5"/>
  </si>
  <si>
    <t>回数</t>
    <rPh sb="0" eb="2">
      <t>カイスウ</t>
    </rPh>
    <phoneticPr fontId="5"/>
  </si>
  <si>
    <t>現収入</t>
    <rPh sb="0" eb="1">
      <t>ゲン</t>
    </rPh>
    <rPh sb="1" eb="3">
      <t>シュウニュウ</t>
    </rPh>
    <phoneticPr fontId="5"/>
  </si>
  <si>
    <t>新収入</t>
    <rPh sb="0" eb="1">
      <t>シン</t>
    </rPh>
    <rPh sb="1" eb="3">
      <t>シュウニュウ</t>
    </rPh>
    <phoneticPr fontId="5"/>
  </si>
  <si>
    <t>計</t>
    <rPh sb="0" eb="1">
      <t>ケイ</t>
    </rPh>
    <phoneticPr fontId="5"/>
  </si>
  <si>
    <t>新収入の増加率</t>
    <rPh sb="0" eb="1">
      <t>シン</t>
    </rPh>
    <rPh sb="1" eb="3">
      <t>シュウニュウ</t>
    </rPh>
    <rPh sb="4" eb="6">
      <t>ゾウカ</t>
    </rPh>
    <rPh sb="6" eb="7">
      <t>リツ</t>
    </rPh>
    <phoneticPr fontId="5"/>
  </si>
  <si>
    <t>サーティファイ</t>
    <phoneticPr fontId="2"/>
  </si>
  <si>
    <t>青少年</t>
  </si>
  <si>
    <t>一般</t>
    <rPh sb="0" eb="2">
      <t>イッパン</t>
    </rPh>
    <phoneticPr fontId="2"/>
  </si>
  <si>
    <t>音楽室</t>
  </si>
  <si>
    <t>講習室</t>
  </si>
  <si>
    <t>小会議室</t>
  </si>
  <si>
    <t>大会議室</t>
  </si>
  <si>
    <t>中会議室</t>
  </si>
  <si>
    <t>総計</t>
  </si>
  <si>
    <t>合計 / 利用料金</t>
  </si>
  <si>
    <t>利用団体</t>
  </si>
  <si>
    <t>利用部屋</t>
  </si>
  <si>
    <t>曜日</t>
  </si>
  <si>
    <t>音楽室 集計</t>
  </si>
  <si>
    <t>講習室 集計</t>
  </si>
  <si>
    <t>小会議室 集計</t>
  </si>
  <si>
    <t>大会議室 集計</t>
  </si>
  <si>
    <t>中会議室 集計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</si>
</sst>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6" formatCode="&quot;¥&quot;#,##0;[Red]&quot;¥&quot;\-#,##0"/>
    <numFmt numFmtId="176" formatCode="0.0%"/>
    <numFmt numFmtId="177" formatCode="aaaa"/>
    <numFmt numFmtId="178" formatCode="yyyy&quot;年&quot;m&quot;月&quot;;@"/>
  </numFmts>
  <fonts count="8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6"/>
      <name val="ＭＳ Ｐゴシック"/>
      <family val="3"/>
      <charset val="128"/>
    </font>
    <font>
      <sz val="11"/>
      <color indexed="8"/>
      <name val="游ゴシック"/>
      <family val="3"/>
      <charset val="128"/>
      <scheme val="minor"/>
    </font>
    <font>
      <b/>
      <sz val="14"/>
      <color indexed="8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6" fontId="1" fillId="0" borderId="0" applyFon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0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0" xfId="0" applyFont="1">
      <alignment vertical="center"/>
    </xf>
    <xf numFmtId="0" fontId="4" fillId="2" borderId="4" xfId="0" applyFont="1" applyFill="1" applyBorder="1" applyAlignment="1">
      <alignment horizontal="center" vertical="center"/>
    </xf>
    <xf numFmtId="0" fontId="4" fillId="0" borderId="4" xfId="0" applyFont="1" applyBorder="1">
      <alignment vertical="center"/>
    </xf>
    <xf numFmtId="0" fontId="4" fillId="0" borderId="4" xfId="0" applyFont="1" applyFill="1" applyBorder="1">
      <alignment vertical="center"/>
    </xf>
    <xf numFmtId="0" fontId="4" fillId="0" borderId="0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4" xfId="0" applyNumberFormat="1" applyFont="1" applyBorder="1">
      <alignment vertical="center"/>
    </xf>
    <xf numFmtId="0" fontId="0" fillId="0" borderId="0" xfId="0" applyFont="1">
      <alignment vertical="center"/>
    </xf>
    <xf numFmtId="38" fontId="4" fillId="0" borderId="4" xfId="1" applyFont="1" applyBorder="1">
      <alignment vertical="center"/>
    </xf>
    <xf numFmtId="0" fontId="4" fillId="2" borderId="1" xfId="0" applyFont="1" applyFill="1" applyBorder="1" applyAlignment="1">
      <alignment horizontal="centerContinuous" vertical="center"/>
    </xf>
    <xf numFmtId="0" fontId="4" fillId="2" borderId="2" xfId="0" applyFont="1" applyFill="1" applyBorder="1" applyAlignment="1">
      <alignment horizontal="centerContinuous" vertical="center"/>
    </xf>
    <xf numFmtId="176" fontId="4" fillId="0" borderId="4" xfId="0" applyNumberFormat="1" applyFont="1" applyBorder="1">
      <alignment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38" fontId="4" fillId="0" borderId="4" xfId="1" applyFont="1" applyFill="1" applyBorder="1">
      <alignment vertical="center"/>
    </xf>
    <xf numFmtId="0" fontId="0" fillId="0" borderId="1" xfId="0" applyFont="1" applyBorder="1" applyAlignment="1">
      <alignment horizontal="left" vertical="center"/>
    </xf>
    <xf numFmtId="177" fontId="4" fillId="0" borderId="2" xfId="0" applyNumberFormat="1" applyFont="1" applyBorder="1">
      <alignment vertical="center"/>
    </xf>
    <xf numFmtId="0" fontId="4" fillId="0" borderId="4" xfId="0" applyFont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178" fontId="4" fillId="0" borderId="4" xfId="0" applyNumberFormat="1" applyFont="1" applyBorder="1">
      <alignment vertical="center"/>
    </xf>
    <xf numFmtId="6" fontId="4" fillId="0" borderId="4" xfId="2" applyFont="1" applyBorder="1">
      <alignment vertical="center"/>
    </xf>
    <xf numFmtId="0" fontId="0" fillId="0" borderId="0" xfId="0" pivotButton="1">
      <alignment vertical="center"/>
    </xf>
    <xf numFmtId="3" fontId="0" fillId="0" borderId="0" xfId="0" applyNumberFormat="1">
      <alignment vertical="center"/>
    </xf>
  </cellXfs>
  <cellStyles count="3">
    <cellStyle name="桁区切り" xfId="1" builtinId="6"/>
    <cellStyle name="通貨" xfId="2" builtinId="7"/>
    <cellStyle name="標準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 sz="1400"/>
              <a:t>各部屋の利用状況</a:t>
            </a:r>
            <a:endParaRPr lang="ja-JP" sz="1400"/>
          </a:p>
        </c:rich>
      </c:tx>
      <c:overlay val="0"/>
      <c:spPr>
        <a:solidFill>
          <a:schemeClr val="tx2">
            <a:lumMod val="20000"/>
            <a:lumOff val="8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view3D>
      <c:rotX val="15"/>
      <c:rotY val="3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solidFill>
          <a:schemeClr val="bg1">
            <a:lumMod val="95000"/>
          </a:schemeClr>
        </a:solidFill>
        <a:ln>
          <a:noFill/>
        </a:ln>
        <a:effectLst/>
        <a:sp3d/>
      </c:spPr>
    </c:sideWall>
    <c:backWall>
      <c:thickness val="0"/>
      <c:spPr>
        <a:solidFill>
          <a:schemeClr val="bg1">
            <a:lumMod val="95000"/>
          </a:schemeClr>
        </a:solidFill>
        <a:ln>
          <a:noFill/>
        </a:ln>
        <a:effectLst/>
        <a:sp3d/>
      </c:spPr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各部屋状況!$C$4</c:f>
              <c:strCache>
                <c:ptCount val="1"/>
                <c:pt idx="0">
                  <c:v>青少年団体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各部屋状況!$B$5:$B$9</c:f>
              <c:strCache>
                <c:ptCount val="5"/>
                <c:pt idx="0">
                  <c:v>講習室</c:v>
                </c:pt>
                <c:pt idx="1">
                  <c:v>音楽室</c:v>
                </c:pt>
                <c:pt idx="2">
                  <c:v>大会議室</c:v>
                </c:pt>
                <c:pt idx="3">
                  <c:v>中会議室</c:v>
                </c:pt>
                <c:pt idx="4">
                  <c:v>小会議室</c:v>
                </c:pt>
              </c:strCache>
            </c:strRef>
          </c:cat>
          <c:val>
            <c:numRef>
              <c:f>各部屋状況!$C$5:$C$9</c:f>
              <c:numCache>
                <c:formatCode>General</c:formatCode>
                <c:ptCount val="5"/>
                <c:pt idx="0">
                  <c:v>2</c:v>
                </c:pt>
                <c:pt idx="1">
                  <c:v>6</c:v>
                </c:pt>
                <c:pt idx="2">
                  <c:v>2</c:v>
                </c:pt>
                <c:pt idx="3">
                  <c:v>4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E2-490A-88B6-F99D0293FE59}"/>
            </c:ext>
          </c:extLst>
        </c:ser>
        <c:ser>
          <c:idx val="1"/>
          <c:order val="1"/>
          <c:tx>
            <c:strRef>
              <c:f>各部屋状況!$D$4</c:f>
              <c:strCache>
                <c:ptCount val="1"/>
                <c:pt idx="0">
                  <c:v>一般団体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各部屋状況!$B$5:$B$9</c:f>
              <c:strCache>
                <c:ptCount val="5"/>
                <c:pt idx="0">
                  <c:v>講習室</c:v>
                </c:pt>
                <c:pt idx="1">
                  <c:v>音楽室</c:v>
                </c:pt>
                <c:pt idx="2">
                  <c:v>大会議室</c:v>
                </c:pt>
                <c:pt idx="3">
                  <c:v>中会議室</c:v>
                </c:pt>
                <c:pt idx="4">
                  <c:v>小会議室</c:v>
                </c:pt>
              </c:strCache>
            </c:strRef>
          </c:cat>
          <c:val>
            <c:numRef>
              <c:f>各部屋状況!$D$5:$D$9</c:f>
              <c:numCache>
                <c:formatCode>General</c:formatCode>
                <c:ptCount val="5"/>
                <c:pt idx="0">
                  <c:v>4</c:v>
                </c:pt>
                <c:pt idx="1">
                  <c:v>2</c:v>
                </c:pt>
                <c:pt idx="2">
                  <c:v>3</c:v>
                </c:pt>
                <c:pt idx="3">
                  <c:v>2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E2-490A-88B6-F99D0293FE5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gapDepth val="200"/>
        <c:shape val="box"/>
        <c:axId val="444728488"/>
        <c:axId val="444723896"/>
        <c:axId val="0"/>
      </c:bar3DChart>
      <c:catAx>
        <c:axId val="4447284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44723896"/>
        <c:crosses val="autoZero"/>
        <c:auto val="1"/>
        <c:lblAlgn val="ctr"/>
        <c:lblOffset val="100"/>
        <c:noMultiLvlLbl val="0"/>
      </c:catAx>
      <c:valAx>
        <c:axId val="444723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44728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blipFill>
      <a:blip xmlns:r="http://schemas.openxmlformats.org/officeDocument/2006/relationships" r:embed="rId3"/>
      <a:tile tx="0" ty="0" sx="100000" sy="100000" flip="none" algn="tl"/>
    </a:blipFill>
    <a:ln w="38100" cap="flat" cmpd="sng" algn="ctr">
      <a:solidFill>
        <a:schemeClr val="tx2">
          <a:lumMod val="20000"/>
          <a:lumOff val="80000"/>
        </a:schemeClr>
      </a:solidFill>
      <a:round/>
    </a:ln>
    <a:effectLst>
      <a:outerShdw blurRad="76200" dir="18900000" sy="23000" kx="-1200000" algn="bl" rotWithShape="0">
        <a:prstClr val="black">
          <a:alpha val="20000"/>
        </a:prstClr>
      </a:outerShdw>
    </a:effectLst>
  </c:spPr>
  <c:txPr>
    <a:bodyPr/>
    <a:lstStyle/>
    <a:p>
      <a:pPr>
        <a:defRPr sz="11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10</xdr:row>
      <xdr:rowOff>66375</xdr:rowOff>
    </xdr:from>
    <xdr:to>
      <xdr:col>3</xdr:col>
      <xdr:colOff>644550</xdr:colOff>
      <xdr:row>13</xdr:row>
      <xdr:rowOff>0</xdr:rowOff>
    </xdr:to>
    <xdr:sp macro="" textlink="">
      <xdr:nvSpPr>
        <xdr:cNvPr id="2" name="1 つの角を切り取った四角形 1"/>
        <xdr:cNvSpPr/>
      </xdr:nvSpPr>
      <xdr:spPr>
        <a:xfrm>
          <a:off x="419100" y="2447625"/>
          <a:ext cx="2340000" cy="648000"/>
        </a:xfrm>
        <a:prstGeom prst="snip1Rect">
          <a:avLst/>
        </a:prstGeom>
        <a:solidFill>
          <a:schemeClr val="accent4">
            <a:lumMod val="75000"/>
          </a:schemeClr>
        </a:solidFill>
        <a:ln w="19050">
          <a:solidFill>
            <a:schemeClr val="accent2">
              <a:lumMod val="50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 b="1">
              <a:solidFill>
                <a:schemeClr val="bg1"/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公民館利用状況表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38099</xdr:colOff>
      <xdr:row>10</xdr:row>
      <xdr:rowOff>52386</xdr:rowOff>
    </xdr:from>
    <xdr:to>
      <xdr:col>8</xdr:col>
      <xdr:colOff>657224</xdr:colOff>
      <xdr:row>24</xdr:row>
      <xdr:rowOff>171450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栗原真理子" refreshedDate="42583.780084375001" createdVersion="6" refreshedVersion="6" minRefreshableVersion="3" recordCount="30">
  <cacheSource type="worksheet">
    <worksheetSource ref="B15:I45" sheet="利用状況"/>
  </cacheSource>
  <cacheFields count="8">
    <cacheField name="利用番号" numFmtId="0">
      <sharedItems/>
    </cacheField>
    <cacheField name="利用開始年月" numFmtId="178">
      <sharedItems containsSemiMixedTypes="0" containsNonDate="0" containsDate="1" containsString="0" minDate="2010-01-01T00:00:00" maxDate="2015-09-02T00:00:00"/>
    </cacheField>
    <cacheField name="更新予定年月" numFmtId="178">
      <sharedItems containsSemiMixedTypes="0" containsNonDate="0" containsDate="1" containsString="0" minDate="2016-01-01T00:00:00" maxDate="2016-11-02T00:00:00"/>
    </cacheField>
    <cacheField name="曜日" numFmtId="0">
      <sharedItems count="7">
        <s v="金"/>
        <s v="火"/>
        <s v="月"/>
        <s v="木"/>
        <s v="水"/>
        <s v="日"/>
        <s v="土"/>
      </sharedItems>
    </cacheField>
    <cacheField name="利用団体" numFmtId="0">
      <sharedItems count="2">
        <s v="一般"/>
        <s v="青少年"/>
      </sharedItems>
    </cacheField>
    <cacheField name="利用部屋" numFmtId="0">
      <sharedItems count="5">
        <s v="講習室"/>
        <s v="音楽室"/>
        <s v="大会議室"/>
        <s v="中会議室"/>
        <s v="小会議室"/>
      </sharedItems>
    </cacheField>
    <cacheField name="利用料金" numFmtId="6">
      <sharedItems containsSemiMixedTypes="0" containsString="0" containsNumber="1" containsInteger="1" minValue="2000" maxValue="3000"/>
    </cacheField>
    <cacheField name="更新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">
  <r>
    <s v="H02014"/>
    <d v="2013-02-01T00:00:00"/>
    <d v="2016-02-01T00:00:00"/>
    <x v="0"/>
    <x v="0"/>
    <x v="0"/>
    <n v="2000"/>
    <s v="済"/>
  </r>
  <r>
    <s v="H02019"/>
    <d v="2015-01-01T00:00:00"/>
    <d v="2016-01-01T00:00:00"/>
    <x v="1"/>
    <x v="1"/>
    <x v="1"/>
    <n v="2400"/>
    <s v="済"/>
  </r>
  <r>
    <s v="H02223"/>
    <d v="2012-07-01T00:00:00"/>
    <d v="2016-07-01T00:00:00"/>
    <x v="2"/>
    <x v="0"/>
    <x v="2"/>
    <n v="3000"/>
    <s v="未"/>
  </r>
  <r>
    <s v="H03013"/>
    <d v="2015-08-01T00:00:00"/>
    <d v="2016-08-01T00:00:00"/>
    <x v="3"/>
    <x v="0"/>
    <x v="1"/>
    <n v="2400"/>
    <s v="未"/>
  </r>
  <r>
    <s v="H03020"/>
    <d v="2014-11-01T00:00:00"/>
    <d v="2016-11-01T00:00:00"/>
    <x v="0"/>
    <x v="1"/>
    <x v="3"/>
    <n v="2400"/>
    <s v="未"/>
  </r>
  <r>
    <s v="H03029"/>
    <d v="2011-01-01T00:00:00"/>
    <d v="2016-01-01T00:00:00"/>
    <x v="1"/>
    <x v="0"/>
    <x v="4"/>
    <n v="2000"/>
    <s v="済"/>
  </r>
  <r>
    <s v="H04015"/>
    <d v="2010-01-01T00:00:00"/>
    <d v="2016-01-01T00:00:00"/>
    <x v="1"/>
    <x v="1"/>
    <x v="1"/>
    <n v="2400"/>
    <s v="済"/>
  </r>
  <r>
    <s v="H04018"/>
    <d v="2014-05-01T00:00:00"/>
    <d v="2016-05-01T00:00:00"/>
    <x v="4"/>
    <x v="1"/>
    <x v="2"/>
    <n v="3000"/>
    <s v="当月"/>
  </r>
  <r>
    <s v="H04029"/>
    <d v="2015-02-01T00:00:00"/>
    <d v="2016-02-01T00:00:00"/>
    <x v="0"/>
    <x v="0"/>
    <x v="0"/>
    <n v="2000"/>
    <s v="済"/>
  </r>
  <r>
    <s v="S02555"/>
    <d v="2015-07-01T00:00:00"/>
    <d v="2016-07-01T00:00:00"/>
    <x v="2"/>
    <x v="0"/>
    <x v="4"/>
    <n v="2000"/>
    <s v="未"/>
  </r>
  <r>
    <s v="S02558"/>
    <d v="2015-09-01T00:00:00"/>
    <d v="2016-09-01T00:00:00"/>
    <x v="5"/>
    <x v="0"/>
    <x v="3"/>
    <n v="2400"/>
    <s v="未"/>
  </r>
  <r>
    <s v="S02563"/>
    <d v="2014-01-01T00:00:00"/>
    <d v="2016-01-01T00:00:00"/>
    <x v="1"/>
    <x v="1"/>
    <x v="1"/>
    <n v="2400"/>
    <s v="済"/>
  </r>
  <r>
    <s v="S03010"/>
    <d v="2011-05-01T00:00:00"/>
    <d v="2016-05-01T00:00:00"/>
    <x v="4"/>
    <x v="0"/>
    <x v="1"/>
    <n v="2400"/>
    <s v="当月"/>
  </r>
  <r>
    <s v="S03123"/>
    <d v="2013-04-01T00:00:00"/>
    <d v="2016-04-01T00:00:00"/>
    <x v="2"/>
    <x v="1"/>
    <x v="3"/>
    <n v="2400"/>
    <s v="済"/>
  </r>
  <r>
    <s v="S03378"/>
    <d v="2014-08-01T00:00:00"/>
    <d v="2016-08-01T00:00:00"/>
    <x v="3"/>
    <x v="1"/>
    <x v="0"/>
    <n v="2000"/>
    <s v="未"/>
  </r>
  <r>
    <s v="S04129"/>
    <d v="2011-10-01T00:00:00"/>
    <d v="2016-01-01T00:00:00"/>
    <x v="1"/>
    <x v="1"/>
    <x v="4"/>
    <n v="2000"/>
    <s v="済"/>
  </r>
  <r>
    <s v="S04225"/>
    <d v="2013-01-01T00:00:00"/>
    <d v="2016-09-01T00:00:00"/>
    <x v="5"/>
    <x v="1"/>
    <x v="1"/>
    <n v="2400"/>
    <s v="未"/>
  </r>
  <r>
    <s v="K01487"/>
    <d v="2013-03-01T00:00:00"/>
    <d v="2016-02-01T00:00:00"/>
    <x v="0"/>
    <x v="0"/>
    <x v="3"/>
    <n v="2400"/>
    <s v="済"/>
  </r>
  <r>
    <s v="K02465"/>
    <d v="2012-04-01T00:00:00"/>
    <d v="2016-01-01T00:00:00"/>
    <x v="1"/>
    <x v="0"/>
    <x v="2"/>
    <n v="3000"/>
    <s v="済"/>
  </r>
  <r>
    <s v="K03151"/>
    <d v="2015-01-01T00:00:00"/>
    <d v="2016-07-01T00:00:00"/>
    <x v="2"/>
    <x v="1"/>
    <x v="0"/>
    <n v="2000"/>
    <s v="未"/>
  </r>
  <r>
    <s v="K03789"/>
    <d v="2010-02-01T00:00:00"/>
    <d v="2016-08-01T00:00:00"/>
    <x v="3"/>
    <x v="1"/>
    <x v="3"/>
    <n v="2400"/>
    <s v="未"/>
  </r>
  <r>
    <s v="K04298"/>
    <d v="2012-12-01T00:00:00"/>
    <d v="2016-11-01T00:00:00"/>
    <x v="0"/>
    <x v="0"/>
    <x v="4"/>
    <n v="2000"/>
    <s v="未"/>
  </r>
  <r>
    <s v="K04359"/>
    <d v="2013-07-01T00:00:00"/>
    <d v="2016-01-01T00:00:00"/>
    <x v="1"/>
    <x v="0"/>
    <x v="0"/>
    <n v="2000"/>
    <s v="済"/>
  </r>
  <r>
    <s v="K05236"/>
    <d v="2012-11-01T00:00:00"/>
    <d v="2016-01-01T00:00:00"/>
    <x v="1"/>
    <x v="1"/>
    <x v="1"/>
    <n v="2400"/>
    <s v="済"/>
  </r>
  <r>
    <s v="M01864"/>
    <d v="2011-05-01T00:00:00"/>
    <d v="2016-05-01T00:00:00"/>
    <x v="4"/>
    <x v="1"/>
    <x v="1"/>
    <n v="2400"/>
    <s v="当月"/>
  </r>
  <r>
    <s v="M02326"/>
    <d v="2010-09-01T00:00:00"/>
    <d v="2016-02-01T00:00:00"/>
    <x v="0"/>
    <x v="1"/>
    <x v="2"/>
    <n v="3000"/>
    <s v="済"/>
  </r>
  <r>
    <s v="M02890"/>
    <d v="2011-08-01T00:00:00"/>
    <d v="2016-08-01T00:00:00"/>
    <x v="3"/>
    <x v="0"/>
    <x v="4"/>
    <n v="2000"/>
    <s v="未"/>
  </r>
  <r>
    <s v="M02945"/>
    <d v="2014-11-01T00:00:00"/>
    <d v="2016-01-01T00:00:00"/>
    <x v="1"/>
    <x v="1"/>
    <x v="3"/>
    <n v="2400"/>
    <s v="済"/>
  </r>
  <r>
    <s v="M03090"/>
    <d v="2012-10-01T00:00:00"/>
    <d v="2016-09-01T00:00:00"/>
    <x v="5"/>
    <x v="0"/>
    <x v="0"/>
    <n v="2000"/>
    <s v="未"/>
  </r>
  <r>
    <s v="M04093"/>
    <d v="2011-04-01T00:00:00"/>
    <d v="2016-06-01T00:00:00"/>
    <x v="6"/>
    <x v="0"/>
    <x v="2"/>
    <n v="3000"/>
    <s v="未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ピボットテーブル1" cacheId="0" applyNumberFormats="0" applyBorderFormats="0" applyFontFormats="0" applyPatternFormats="0" applyAlignmentFormats="0" applyWidthHeightFormats="1" dataCaption="値" updatedVersion="6" minRefreshableVersion="3" useAutoFormatting="1" rowGrandTotals="0" itemPrintTitles="1" createdVersion="6" indent="0" compact="0" compactData="0" multipleFieldFilters="0">
  <location ref="A3:E32" firstHeaderRow="1" firstDataRow="2" firstDataCol="2"/>
  <pivotFields count="8">
    <pivotField compact="0" outline="0" showAll="0"/>
    <pivotField compact="0" numFmtId="178" outline="0" showAll="0"/>
    <pivotField compact="0" numFmtId="178" outline="0" showAll="0"/>
    <pivotField axis="axisRow" compact="0" outline="0" showAll="0">
      <items count="8">
        <item x="5"/>
        <item x="2"/>
        <item x="1"/>
        <item x="4"/>
        <item x="3"/>
        <item x="0"/>
        <item x="6"/>
        <item t="default"/>
      </items>
    </pivotField>
    <pivotField axis="axisCol" compact="0" outline="0" showAll="0">
      <items count="3">
        <item x="0"/>
        <item x="1"/>
        <item t="default"/>
      </items>
    </pivotField>
    <pivotField axis="axisRow" compact="0" outline="0" showAll="0">
      <items count="6">
        <item x="1"/>
        <item x="0"/>
        <item x="4"/>
        <item x="2"/>
        <item x="3"/>
        <item t="default"/>
      </items>
    </pivotField>
    <pivotField dataField="1" compact="0" numFmtId="6" outline="0" showAll="0"/>
    <pivotField compact="0" outline="0" showAll="0"/>
  </pivotFields>
  <rowFields count="2">
    <field x="5"/>
    <field x="3"/>
  </rowFields>
  <rowItems count="28">
    <i>
      <x/>
      <x/>
    </i>
    <i r="1">
      <x v="2"/>
    </i>
    <i r="1">
      <x v="3"/>
    </i>
    <i r="1">
      <x v="4"/>
    </i>
    <i t="default">
      <x/>
    </i>
    <i>
      <x v="1"/>
      <x/>
    </i>
    <i r="1">
      <x v="1"/>
    </i>
    <i r="1">
      <x v="2"/>
    </i>
    <i r="1">
      <x v="4"/>
    </i>
    <i r="1">
      <x v="5"/>
    </i>
    <i t="default">
      <x v="1"/>
    </i>
    <i>
      <x v="2"/>
      <x v="1"/>
    </i>
    <i r="1">
      <x v="2"/>
    </i>
    <i r="1">
      <x v="4"/>
    </i>
    <i r="1">
      <x v="5"/>
    </i>
    <i t="default">
      <x v="2"/>
    </i>
    <i>
      <x v="3"/>
      <x v="1"/>
    </i>
    <i r="1">
      <x v="2"/>
    </i>
    <i r="1">
      <x v="3"/>
    </i>
    <i r="1">
      <x v="5"/>
    </i>
    <i r="1">
      <x v="6"/>
    </i>
    <i t="default">
      <x v="3"/>
    </i>
    <i>
      <x v="4"/>
      <x/>
    </i>
    <i r="1">
      <x v="1"/>
    </i>
    <i r="1">
      <x v="2"/>
    </i>
    <i r="1">
      <x v="4"/>
    </i>
    <i r="1">
      <x v="5"/>
    </i>
    <i t="default">
      <x v="4"/>
    </i>
  </rowItems>
  <colFields count="1">
    <field x="4"/>
  </colFields>
  <colItems count="3">
    <i>
      <x/>
    </i>
    <i>
      <x v="1"/>
    </i>
    <i t="grand">
      <x/>
    </i>
  </colItems>
  <dataFields count="1">
    <dataField name="合計 / 利用料金" fld="6" baseField="3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E32"/>
  <sheetViews>
    <sheetView workbookViewId="0"/>
  </sheetViews>
  <sheetFormatPr defaultRowHeight="18.75" x14ac:dyDescent="0.4"/>
  <cols>
    <col min="1" max="1" width="15.5" bestFit="1" customWidth="1"/>
    <col min="2" max="2" width="7.5" bestFit="1" customWidth="1"/>
    <col min="3" max="4" width="11.25" bestFit="1" customWidth="1"/>
    <col min="5" max="5" width="7.875" bestFit="1" customWidth="1"/>
  </cols>
  <sheetData>
    <row r="3" spans="1:5" x14ac:dyDescent="0.4">
      <c r="A3" s="25" t="s">
        <v>87</v>
      </c>
      <c r="C3" s="25" t="s">
        <v>88</v>
      </c>
    </row>
    <row r="4" spans="1:5" x14ac:dyDescent="0.4">
      <c r="A4" s="25" t="s">
        <v>89</v>
      </c>
      <c r="B4" s="25" t="s">
        <v>90</v>
      </c>
      <c r="C4" t="s">
        <v>13</v>
      </c>
      <c r="D4" t="s">
        <v>79</v>
      </c>
      <c r="E4" t="s">
        <v>86</v>
      </c>
    </row>
    <row r="5" spans="1:5" x14ac:dyDescent="0.4">
      <c r="A5" t="s">
        <v>81</v>
      </c>
      <c r="B5" t="s">
        <v>41</v>
      </c>
      <c r="C5" s="26"/>
      <c r="D5" s="26">
        <v>2400</v>
      </c>
      <c r="E5" s="26">
        <v>2400</v>
      </c>
    </row>
    <row r="6" spans="1:5" x14ac:dyDescent="0.4">
      <c r="B6" t="s">
        <v>24</v>
      </c>
      <c r="C6" s="26"/>
      <c r="D6" s="26">
        <v>9600</v>
      </c>
      <c r="E6" s="26">
        <v>9600</v>
      </c>
    </row>
    <row r="7" spans="1:5" x14ac:dyDescent="0.4">
      <c r="B7" t="s">
        <v>37</v>
      </c>
      <c r="C7" s="26">
        <v>2400</v>
      </c>
      <c r="D7" s="26">
        <v>2400</v>
      </c>
      <c r="E7" s="26">
        <v>4800</v>
      </c>
    </row>
    <row r="8" spans="1:5" x14ac:dyDescent="0.4">
      <c r="B8" t="s">
        <v>30</v>
      </c>
      <c r="C8" s="26">
        <v>2400</v>
      </c>
      <c r="D8" s="26"/>
      <c r="E8" s="26">
        <v>2400</v>
      </c>
    </row>
    <row r="9" spans="1:5" x14ac:dyDescent="0.4">
      <c r="A9" t="s">
        <v>91</v>
      </c>
      <c r="C9" s="26">
        <v>4800</v>
      </c>
      <c r="D9" s="26">
        <v>14400</v>
      </c>
      <c r="E9" s="26">
        <v>19200</v>
      </c>
    </row>
    <row r="10" spans="1:5" x14ac:dyDescent="0.4">
      <c r="A10" t="s">
        <v>82</v>
      </c>
      <c r="B10" t="s">
        <v>41</v>
      </c>
      <c r="C10" s="26">
        <v>2000</v>
      </c>
      <c r="D10" s="26"/>
      <c r="E10" s="26">
        <v>2000</v>
      </c>
    </row>
    <row r="11" spans="1:5" x14ac:dyDescent="0.4">
      <c r="B11" t="s">
        <v>27</v>
      </c>
      <c r="C11" s="26"/>
      <c r="D11" s="26">
        <v>2000</v>
      </c>
      <c r="E11" s="26">
        <v>2000</v>
      </c>
    </row>
    <row r="12" spans="1:5" x14ac:dyDescent="0.4">
      <c r="B12" t="s">
        <v>24</v>
      </c>
      <c r="C12" s="26">
        <v>2000</v>
      </c>
      <c r="D12" s="26"/>
      <c r="E12" s="26">
        <v>2000</v>
      </c>
    </row>
    <row r="13" spans="1:5" x14ac:dyDescent="0.4">
      <c r="B13" t="s">
        <v>30</v>
      </c>
      <c r="C13" s="26"/>
      <c r="D13" s="26">
        <v>2000</v>
      </c>
      <c r="E13" s="26">
        <v>2000</v>
      </c>
    </row>
    <row r="14" spans="1:5" x14ac:dyDescent="0.4">
      <c r="B14" t="s">
        <v>21</v>
      </c>
      <c r="C14" s="26">
        <v>4000</v>
      </c>
      <c r="D14" s="26"/>
      <c r="E14" s="26">
        <v>4000</v>
      </c>
    </row>
    <row r="15" spans="1:5" x14ac:dyDescent="0.4">
      <c r="A15" t="s">
        <v>92</v>
      </c>
      <c r="C15" s="26">
        <v>8000</v>
      </c>
      <c r="D15" s="26">
        <v>4000</v>
      </c>
      <c r="E15" s="26">
        <v>12000</v>
      </c>
    </row>
    <row r="16" spans="1:5" x14ac:dyDescent="0.4">
      <c r="A16" t="s">
        <v>83</v>
      </c>
      <c r="B16" t="s">
        <v>27</v>
      </c>
      <c r="C16" s="26">
        <v>2000</v>
      </c>
      <c r="D16" s="26"/>
      <c r="E16" s="26">
        <v>2000</v>
      </c>
    </row>
    <row r="17" spans="1:5" x14ac:dyDescent="0.4">
      <c r="B17" t="s">
        <v>24</v>
      </c>
      <c r="C17" s="26">
        <v>2000</v>
      </c>
      <c r="D17" s="26">
        <v>2000</v>
      </c>
      <c r="E17" s="26">
        <v>4000</v>
      </c>
    </row>
    <row r="18" spans="1:5" x14ac:dyDescent="0.4">
      <c r="B18" t="s">
        <v>30</v>
      </c>
      <c r="C18" s="26">
        <v>2000</v>
      </c>
      <c r="D18" s="26"/>
      <c r="E18" s="26">
        <v>2000</v>
      </c>
    </row>
    <row r="19" spans="1:5" x14ac:dyDescent="0.4">
      <c r="B19" t="s">
        <v>21</v>
      </c>
      <c r="C19" s="26">
        <v>2000</v>
      </c>
      <c r="D19" s="26"/>
      <c r="E19" s="26">
        <v>2000</v>
      </c>
    </row>
    <row r="20" spans="1:5" x14ac:dyDescent="0.4">
      <c r="A20" t="s">
        <v>93</v>
      </c>
      <c r="C20" s="26">
        <v>8000</v>
      </c>
      <c r="D20" s="26">
        <v>2000</v>
      </c>
      <c r="E20" s="26">
        <v>10000</v>
      </c>
    </row>
    <row r="21" spans="1:5" x14ac:dyDescent="0.4">
      <c r="A21" t="s">
        <v>84</v>
      </c>
      <c r="B21" t="s">
        <v>27</v>
      </c>
      <c r="C21" s="26">
        <v>3000</v>
      </c>
      <c r="D21" s="26"/>
      <c r="E21" s="26">
        <v>3000</v>
      </c>
    </row>
    <row r="22" spans="1:5" x14ac:dyDescent="0.4">
      <c r="B22" t="s">
        <v>24</v>
      </c>
      <c r="C22" s="26">
        <v>3000</v>
      </c>
      <c r="D22" s="26"/>
      <c r="E22" s="26">
        <v>3000</v>
      </c>
    </row>
    <row r="23" spans="1:5" x14ac:dyDescent="0.4">
      <c r="B23" t="s">
        <v>37</v>
      </c>
      <c r="C23" s="26"/>
      <c r="D23" s="26">
        <v>3000</v>
      </c>
      <c r="E23" s="26">
        <v>3000</v>
      </c>
    </row>
    <row r="24" spans="1:5" x14ac:dyDescent="0.4">
      <c r="B24" t="s">
        <v>21</v>
      </c>
      <c r="C24" s="26"/>
      <c r="D24" s="26">
        <v>3000</v>
      </c>
      <c r="E24" s="26">
        <v>3000</v>
      </c>
    </row>
    <row r="25" spans="1:5" x14ac:dyDescent="0.4">
      <c r="B25" t="s">
        <v>53</v>
      </c>
      <c r="C25" s="26">
        <v>3000</v>
      </c>
      <c r="D25" s="26"/>
      <c r="E25" s="26">
        <v>3000</v>
      </c>
    </row>
    <row r="26" spans="1:5" x14ac:dyDescent="0.4">
      <c r="A26" t="s">
        <v>94</v>
      </c>
      <c r="C26" s="26">
        <v>9000</v>
      </c>
      <c r="D26" s="26">
        <v>6000</v>
      </c>
      <c r="E26" s="26">
        <v>15000</v>
      </c>
    </row>
    <row r="27" spans="1:5" x14ac:dyDescent="0.4">
      <c r="A27" t="s">
        <v>85</v>
      </c>
      <c r="B27" t="s">
        <v>41</v>
      </c>
      <c r="C27" s="26">
        <v>2400</v>
      </c>
      <c r="D27" s="26"/>
      <c r="E27" s="26">
        <v>2400</v>
      </c>
    </row>
    <row r="28" spans="1:5" x14ac:dyDescent="0.4">
      <c r="B28" t="s">
        <v>27</v>
      </c>
      <c r="C28" s="26"/>
      <c r="D28" s="26">
        <v>2400</v>
      </c>
      <c r="E28" s="26">
        <v>2400</v>
      </c>
    </row>
    <row r="29" spans="1:5" x14ac:dyDescent="0.4">
      <c r="B29" t="s">
        <v>24</v>
      </c>
      <c r="C29" s="26"/>
      <c r="D29" s="26">
        <v>2400</v>
      </c>
      <c r="E29" s="26">
        <v>2400</v>
      </c>
    </row>
    <row r="30" spans="1:5" x14ac:dyDescent="0.4">
      <c r="B30" t="s">
        <v>30</v>
      </c>
      <c r="C30" s="26"/>
      <c r="D30" s="26">
        <v>2400</v>
      </c>
      <c r="E30" s="26">
        <v>2400</v>
      </c>
    </row>
    <row r="31" spans="1:5" x14ac:dyDescent="0.4">
      <c r="B31" t="s">
        <v>21</v>
      </c>
      <c r="C31" s="26">
        <v>2400</v>
      </c>
      <c r="D31" s="26">
        <v>2400</v>
      </c>
      <c r="E31" s="26">
        <v>4800</v>
      </c>
    </row>
    <row r="32" spans="1:5" x14ac:dyDescent="0.4">
      <c r="A32" t="s">
        <v>95</v>
      </c>
      <c r="C32" s="26">
        <v>4800</v>
      </c>
      <c r="D32" s="26">
        <v>9600</v>
      </c>
      <c r="E32" s="26">
        <v>14400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45"/>
  <sheetViews>
    <sheetView showGridLines="0" tabSelected="1" workbookViewId="0"/>
  </sheetViews>
  <sheetFormatPr defaultRowHeight="18.75" x14ac:dyDescent="0.4"/>
  <cols>
    <col min="1" max="1" width="3.625" style="4" customWidth="1"/>
    <col min="2" max="2" width="10.5" style="4" customWidth="1"/>
    <col min="3" max="3" width="13.625" style="4" customWidth="1"/>
    <col min="4" max="4" width="14.625" style="4" customWidth="1"/>
    <col min="5" max="5" width="8.125" style="4" customWidth="1"/>
    <col min="6" max="7" width="9" style="4"/>
    <col min="8" max="8" width="13" style="4" bestFit="1" customWidth="1"/>
    <col min="9" max="9" width="5.25" style="4" bestFit="1" customWidth="1"/>
  </cols>
  <sheetData>
    <row r="1" spans="1:9" x14ac:dyDescent="0.4">
      <c r="A1" s="1" t="s">
        <v>0</v>
      </c>
      <c r="B1" s="2"/>
      <c r="C1" s="19">
        <v>1234567</v>
      </c>
      <c r="D1" s="2"/>
      <c r="E1" s="3"/>
      <c r="G1" s="4" t="s">
        <v>1</v>
      </c>
    </row>
    <row r="2" spans="1:9" x14ac:dyDescent="0.4">
      <c r="A2" s="1" t="s">
        <v>2</v>
      </c>
      <c r="B2" s="2"/>
      <c r="C2" s="1" t="s">
        <v>78</v>
      </c>
      <c r="D2" s="2"/>
      <c r="E2" s="3"/>
      <c r="G2" s="5" t="s">
        <v>3</v>
      </c>
      <c r="H2" s="5" t="s">
        <v>4</v>
      </c>
    </row>
    <row r="3" spans="1:9" x14ac:dyDescent="0.4">
      <c r="G3" s="6" t="s">
        <v>5</v>
      </c>
      <c r="H3" s="12">
        <v>2000</v>
      </c>
    </row>
    <row r="4" spans="1:9" x14ac:dyDescent="0.4">
      <c r="G4" s="6" t="s">
        <v>6</v>
      </c>
      <c r="H4" s="12">
        <v>2400</v>
      </c>
    </row>
    <row r="5" spans="1:9" x14ac:dyDescent="0.4">
      <c r="G5" s="6" t="s">
        <v>7</v>
      </c>
      <c r="H5" s="12">
        <v>3000</v>
      </c>
    </row>
    <row r="6" spans="1:9" x14ac:dyDescent="0.4">
      <c r="G6" s="7" t="s">
        <v>8</v>
      </c>
      <c r="H6" s="18">
        <v>2400</v>
      </c>
    </row>
    <row r="7" spans="1:9" x14ac:dyDescent="0.4">
      <c r="G7" s="7" t="s">
        <v>9</v>
      </c>
      <c r="H7" s="18">
        <v>2000</v>
      </c>
    </row>
    <row r="8" spans="1:9" x14ac:dyDescent="0.4">
      <c r="G8" s="8"/>
      <c r="H8" s="8"/>
    </row>
    <row r="9" spans="1:9" x14ac:dyDescent="0.4">
      <c r="G9" s="4" t="s">
        <v>10</v>
      </c>
    </row>
    <row r="10" spans="1:9" x14ac:dyDescent="0.4">
      <c r="G10" s="22" t="s">
        <v>11</v>
      </c>
      <c r="H10" s="22" t="s">
        <v>12</v>
      </c>
    </row>
    <row r="11" spans="1:9" x14ac:dyDescent="0.4">
      <c r="G11" s="6" t="s">
        <v>80</v>
      </c>
      <c r="H11" s="12">
        <f>DSUM(B15:I45,H15,G10:G11)</f>
        <v>34600</v>
      </c>
    </row>
    <row r="13" spans="1:9" x14ac:dyDescent="0.4">
      <c r="E13" s="1">
        <v>2016</v>
      </c>
      <c r="F13" s="9">
        <v>5</v>
      </c>
      <c r="G13" s="9">
        <v>1</v>
      </c>
      <c r="H13" s="20">
        <f>DATE(E13,F13,G13)</f>
        <v>42491</v>
      </c>
      <c r="I13" s="4" t="s">
        <v>14</v>
      </c>
    </row>
    <row r="15" spans="1:9" x14ac:dyDescent="0.4">
      <c r="B15" s="22" t="s">
        <v>15</v>
      </c>
      <c r="C15" s="22" t="s">
        <v>16</v>
      </c>
      <c r="D15" s="22" t="s">
        <v>17</v>
      </c>
      <c r="E15" s="22" t="s">
        <v>18</v>
      </c>
      <c r="F15" s="22" t="s">
        <v>11</v>
      </c>
      <c r="G15" s="22" t="s">
        <v>3</v>
      </c>
      <c r="H15" s="22" t="s">
        <v>4</v>
      </c>
      <c r="I15" s="22" t="s">
        <v>19</v>
      </c>
    </row>
    <row r="16" spans="1:9" x14ac:dyDescent="0.4">
      <c r="B16" s="6" t="s">
        <v>20</v>
      </c>
      <c r="C16" s="23">
        <v>41306</v>
      </c>
      <c r="D16" s="23">
        <v>42401</v>
      </c>
      <c r="E16" s="10" t="s">
        <v>21</v>
      </c>
      <c r="F16" s="6" t="s">
        <v>22</v>
      </c>
      <c r="G16" s="6" t="s">
        <v>5</v>
      </c>
      <c r="H16" s="24">
        <f>VLOOKUP(G16,$G$3:$H$7,2,FALSE)</f>
        <v>2000</v>
      </c>
      <c r="I16" s="21" t="str">
        <f>IF(D16=$H$13,"当月",IF(D16&lt;$H$13,"済","未"))</f>
        <v>済</v>
      </c>
    </row>
    <row r="17" spans="2:9" x14ac:dyDescent="0.4">
      <c r="B17" s="6" t="s">
        <v>23</v>
      </c>
      <c r="C17" s="23">
        <v>42005</v>
      </c>
      <c r="D17" s="23">
        <v>42370</v>
      </c>
      <c r="E17" s="10" t="s">
        <v>24</v>
      </c>
      <c r="F17" s="6" t="s">
        <v>25</v>
      </c>
      <c r="G17" s="6" t="s">
        <v>6</v>
      </c>
      <c r="H17" s="24">
        <f t="shared" ref="H17:H45" si="0">VLOOKUP(G17,$G$3:$H$7,2,FALSE)</f>
        <v>2400</v>
      </c>
      <c r="I17" s="21" t="str">
        <f t="shared" ref="I17:I45" si="1">IF(D17=$H$13,"当月",IF(D17&lt;$H$13,"済","未"))</f>
        <v>済</v>
      </c>
    </row>
    <row r="18" spans="2:9" x14ac:dyDescent="0.4">
      <c r="B18" s="6" t="s">
        <v>26</v>
      </c>
      <c r="C18" s="23">
        <v>41091</v>
      </c>
      <c r="D18" s="23">
        <v>42552</v>
      </c>
      <c r="E18" s="10" t="s">
        <v>27</v>
      </c>
      <c r="F18" s="6" t="s">
        <v>22</v>
      </c>
      <c r="G18" s="6" t="s">
        <v>28</v>
      </c>
      <c r="H18" s="24">
        <f t="shared" si="0"/>
        <v>3000</v>
      </c>
      <c r="I18" s="21" t="str">
        <f t="shared" si="1"/>
        <v>未</v>
      </c>
    </row>
    <row r="19" spans="2:9" x14ac:dyDescent="0.4">
      <c r="B19" s="6" t="s">
        <v>29</v>
      </c>
      <c r="C19" s="23">
        <v>42217</v>
      </c>
      <c r="D19" s="23">
        <v>42583</v>
      </c>
      <c r="E19" s="10" t="s">
        <v>30</v>
      </c>
      <c r="F19" s="6" t="s">
        <v>22</v>
      </c>
      <c r="G19" s="6" t="s">
        <v>6</v>
      </c>
      <c r="H19" s="24">
        <f t="shared" si="0"/>
        <v>2400</v>
      </c>
      <c r="I19" s="21" t="str">
        <f t="shared" si="1"/>
        <v>未</v>
      </c>
    </row>
    <row r="20" spans="2:9" x14ac:dyDescent="0.4">
      <c r="B20" s="6" t="s">
        <v>31</v>
      </c>
      <c r="C20" s="23">
        <v>41944</v>
      </c>
      <c r="D20" s="23">
        <v>42675</v>
      </c>
      <c r="E20" s="10" t="s">
        <v>21</v>
      </c>
      <c r="F20" s="6" t="s">
        <v>25</v>
      </c>
      <c r="G20" s="6" t="s">
        <v>32</v>
      </c>
      <c r="H20" s="24">
        <f t="shared" si="0"/>
        <v>2400</v>
      </c>
      <c r="I20" s="21" t="str">
        <f t="shared" si="1"/>
        <v>未</v>
      </c>
    </row>
    <row r="21" spans="2:9" x14ac:dyDescent="0.4">
      <c r="B21" s="6" t="s">
        <v>33</v>
      </c>
      <c r="C21" s="23">
        <v>40544</v>
      </c>
      <c r="D21" s="23">
        <v>42370</v>
      </c>
      <c r="E21" s="10" t="s">
        <v>24</v>
      </c>
      <c r="F21" s="6" t="s">
        <v>22</v>
      </c>
      <c r="G21" s="6" t="s">
        <v>34</v>
      </c>
      <c r="H21" s="24">
        <f t="shared" si="0"/>
        <v>2000</v>
      </c>
      <c r="I21" s="21" t="str">
        <f t="shared" si="1"/>
        <v>済</v>
      </c>
    </row>
    <row r="22" spans="2:9" x14ac:dyDescent="0.4">
      <c r="B22" s="6" t="s">
        <v>35</v>
      </c>
      <c r="C22" s="23">
        <v>40179</v>
      </c>
      <c r="D22" s="23">
        <v>42370</v>
      </c>
      <c r="E22" s="10" t="s">
        <v>24</v>
      </c>
      <c r="F22" s="6" t="s">
        <v>25</v>
      </c>
      <c r="G22" s="6" t="s">
        <v>6</v>
      </c>
      <c r="H22" s="24">
        <f t="shared" si="0"/>
        <v>2400</v>
      </c>
      <c r="I22" s="21" t="str">
        <f t="shared" si="1"/>
        <v>済</v>
      </c>
    </row>
    <row r="23" spans="2:9" x14ac:dyDescent="0.4">
      <c r="B23" s="6" t="s">
        <v>36</v>
      </c>
      <c r="C23" s="23">
        <v>41760</v>
      </c>
      <c r="D23" s="23">
        <v>42491</v>
      </c>
      <c r="E23" s="10" t="s">
        <v>37</v>
      </c>
      <c r="F23" s="6" t="s">
        <v>25</v>
      </c>
      <c r="G23" s="6" t="s">
        <v>28</v>
      </c>
      <c r="H23" s="24">
        <f t="shared" si="0"/>
        <v>3000</v>
      </c>
      <c r="I23" s="21" t="str">
        <f t="shared" si="1"/>
        <v>当月</v>
      </c>
    </row>
    <row r="24" spans="2:9" x14ac:dyDescent="0.4">
      <c r="B24" s="6" t="s">
        <v>38</v>
      </c>
      <c r="C24" s="23">
        <v>42036</v>
      </c>
      <c r="D24" s="23">
        <v>42401</v>
      </c>
      <c r="E24" s="10" t="s">
        <v>21</v>
      </c>
      <c r="F24" s="6" t="s">
        <v>22</v>
      </c>
      <c r="G24" s="6" t="s">
        <v>5</v>
      </c>
      <c r="H24" s="24">
        <f t="shared" si="0"/>
        <v>2000</v>
      </c>
      <c r="I24" s="21" t="str">
        <f t="shared" si="1"/>
        <v>済</v>
      </c>
    </row>
    <row r="25" spans="2:9" x14ac:dyDescent="0.4">
      <c r="B25" s="6" t="s">
        <v>39</v>
      </c>
      <c r="C25" s="23">
        <v>42186</v>
      </c>
      <c r="D25" s="23">
        <v>42552</v>
      </c>
      <c r="E25" s="10" t="s">
        <v>27</v>
      </c>
      <c r="F25" s="6" t="s">
        <v>22</v>
      </c>
      <c r="G25" s="6" t="s">
        <v>34</v>
      </c>
      <c r="H25" s="24">
        <f t="shared" si="0"/>
        <v>2000</v>
      </c>
      <c r="I25" s="21" t="str">
        <f t="shared" si="1"/>
        <v>未</v>
      </c>
    </row>
    <row r="26" spans="2:9" x14ac:dyDescent="0.4">
      <c r="B26" s="6" t="s">
        <v>40</v>
      </c>
      <c r="C26" s="23">
        <v>42248</v>
      </c>
      <c r="D26" s="23">
        <v>42614</v>
      </c>
      <c r="E26" s="10" t="s">
        <v>41</v>
      </c>
      <c r="F26" s="6" t="s">
        <v>22</v>
      </c>
      <c r="G26" s="6" t="s">
        <v>42</v>
      </c>
      <c r="H26" s="24">
        <f t="shared" si="0"/>
        <v>2400</v>
      </c>
      <c r="I26" s="21" t="str">
        <f t="shared" si="1"/>
        <v>未</v>
      </c>
    </row>
    <row r="27" spans="2:9" x14ac:dyDescent="0.4">
      <c r="B27" s="6" t="s">
        <v>43</v>
      </c>
      <c r="C27" s="23">
        <v>41640</v>
      </c>
      <c r="D27" s="23">
        <v>42370</v>
      </c>
      <c r="E27" s="10" t="s">
        <v>24</v>
      </c>
      <c r="F27" s="6" t="s">
        <v>25</v>
      </c>
      <c r="G27" s="6" t="s">
        <v>44</v>
      </c>
      <c r="H27" s="24">
        <f t="shared" si="0"/>
        <v>2400</v>
      </c>
      <c r="I27" s="21" t="str">
        <f t="shared" si="1"/>
        <v>済</v>
      </c>
    </row>
    <row r="28" spans="2:9" x14ac:dyDescent="0.4">
      <c r="B28" s="6" t="s">
        <v>45</v>
      </c>
      <c r="C28" s="23">
        <v>40664</v>
      </c>
      <c r="D28" s="23">
        <v>42491</v>
      </c>
      <c r="E28" s="10" t="s">
        <v>37</v>
      </c>
      <c r="F28" s="6" t="s">
        <v>22</v>
      </c>
      <c r="G28" s="6" t="s">
        <v>44</v>
      </c>
      <c r="H28" s="24">
        <f t="shared" si="0"/>
        <v>2400</v>
      </c>
      <c r="I28" s="21" t="str">
        <f t="shared" si="1"/>
        <v>当月</v>
      </c>
    </row>
    <row r="29" spans="2:9" x14ac:dyDescent="0.4">
      <c r="B29" s="6" t="s">
        <v>46</v>
      </c>
      <c r="C29" s="23">
        <v>41365</v>
      </c>
      <c r="D29" s="23">
        <v>42461</v>
      </c>
      <c r="E29" s="10" t="s">
        <v>27</v>
      </c>
      <c r="F29" s="6" t="s">
        <v>25</v>
      </c>
      <c r="G29" s="6" t="s">
        <v>42</v>
      </c>
      <c r="H29" s="24">
        <f t="shared" si="0"/>
        <v>2400</v>
      </c>
      <c r="I29" s="21" t="str">
        <f t="shared" si="1"/>
        <v>済</v>
      </c>
    </row>
    <row r="30" spans="2:9" x14ac:dyDescent="0.4">
      <c r="B30" s="6" t="s">
        <v>47</v>
      </c>
      <c r="C30" s="23">
        <v>41852</v>
      </c>
      <c r="D30" s="23">
        <v>42583</v>
      </c>
      <c r="E30" s="10" t="s">
        <v>30</v>
      </c>
      <c r="F30" s="6" t="s">
        <v>25</v>
      </c>
      <c r="G30" s="6" t="s">
        <v>5</v>
      </c>
      <c r="H30" s="24">
        <f t="shared" si="0"/>
        <v>2000</v>
      </c>
      <c r="I30" s="21" t="str">
        <f t="shared" si="1"/>
        <v>未</v>
      </c>
    </row>
    <row r="31" spans="2:9" x14ac:dyDescent="0.4">
      <c r="B31" s="6" t="s">
        <v>48</v>
      </c>
      <c r="C31" s="23">
        <v>40817</v>
      </c>
      <c r="D31" s="23">
        <v>42370</v>
      </c>
      <c r="E31" s="10" t="s">
        <v>24</v>
      </c>
      <c r="F31" s="6" t="s">
        <v>25</v>
      </c>
      <c r="G31" s="6" t="s">
        <v>34</v>
      </c>
      <c r="H31" s="24">
        <f t="shared" si="0"/>
        <v>2000</v>
      </c>
      <c r="I31" s="21" t="str">
        <f t="shared" si="1"/>
        <v>済</v>
      </c>
    </row>
    <row r="32" spans="2:9" x14ac:dyDescent="0.4">
      <c r="B32" s="6" t="s">
        <v>49</v>
      </c>
      <c r="C32" s="23">
        <v>41275</v>
      </c>
      <c r="D32" s="23">
        <v>42614</v>
      </c>
      <c r="E32" s="10" t="s">
        <v>41</v>
      </c>
      <c r="F32" s="6" t="s">
        <v>25</v>
      </c>
      <c r="G32" s="6" t="s">
        <v>6</v>
      </c>
      <c r="H32" s="24">
        <f t="shared" si="0"/>
        <v>2400</v>
      </c>
      <c r="I32" s="21" t="str">
        <f t="shared" si="1"/>
        <v>未</v>
      </c>
    </row>
    <row r="33" spans="2:9" x14ac:dyDescent="0.4">
      <c r="B33" s="7" t="s">
        <v>54</v>
      </c>
      <c r="C33" s="23">
        <v>41334</v>
      </c>
      <c r="D33" s="23">
        <v>42401</v>
      </c>
      <c r="E33" s="10" t="s">
        <v>21</v>
      </c>
      <c r="F33" s="6" t="s">
        <v>22</v>
      </c>
      <c r="G33" s="6" t="s">
        <v>42</v>
      </c>
      <c r="H33" s="24">
        <f t="shared" si="0"/>
        <v>2400</v>
      </c>
      <c r="I33" s="21" t="str">
        <f t="shared" si="1"/>
        <v>済</v>
      </c>
    </row>
    <row r="34" spans="2:9" x14ac:dyDescent="0.4">
      <c r="B34" s="7" t="s">
        <v>50</v>
      </c>
      <c r="C34" s="23">
        <v>41000</v>
      </c>
      <c r="D34" s="23">
        <v>42370</v>
      </c>
      <c r="E34" s="10" t="s">
        <v>24</v>
      </c>
      <c r="F34" s="6" t="s">
        <v>22</v>
      </c>
      <c r="G34" s="6" t="s">
        <v>28</v>
      </c>
      <c r="H34" s="24">
        <f t="shared" si="0"/>
        <v>3000</v>
      </c>
      <c r="I34" s="21" t="str">
        <f t="shared" si="1"/>
        <v>済</v>
      </c>
    </row>
    <row r="35" spans="2:9" x14ac:dyDescent="0.4">
      <c r="B35" s="7" t="s">
        <v>55</v>
      </c>
      <c r="C35" s="23">
        <v>42005</v>
      </c>
      <c r="D35" s="23">
        <v>42552</v>
      </c>
      <c r="E35" s="10" t="s">
        <v>27</v>
      </c>
      <c r="F35" s="6" t="s">
        <v>25</v>
      </c>
      <c r="G35" s="6" t="s">
        <v>5</v>
      </c>
      <c r="H35" s="24">
        <f t="shared" si="0"/>
        <v>2000</v>
      </c>
      <c r="I35" s="21" t="str">
        <f t="shared" si="1"/>
        <v>未</v>
      </c>
    </row>
    <row r="36" spans="2:9" x14ac:dyDescent="0.4">
      <c r="B36" s="7" t="s">
        <v>56</v>
      </c>
      <c r="C36" s="23">
        <v>40210</v>
      </c>
      <c r="D36" s="23">
        <v>42583</v>
      </c>
      <c r="E36" s="10" t="s">
        <v>30</v>
      </c>
      <c r="F36" s="6" t="s">
        <v>25</v>
      </c>
      <c r="G36" s="6" t="s">
        <v>32</v>
      </c>
      <c r="H36" s="24">
        <f t="shared" si="0"/>
        <v>2400</v>
      </c>
      <c r="I36" s="21" t="str">
        <f t="shared" si="1"/>
        <v>未</v>
      </c>
    </row>
    <row r="37" spans="2:9" x14ac:dyDescent="0.4">
      <c r="B37" s="7" t="s">
        <v>57</v>
      </c>
      <c r="C37" s="23">
        <v>41244</v>
      </c>
      <c r="D37" s="23">
        <v>42675</v>
      </c>
      <c r="E37" s="10" t="s">
        <v>21</v>
      </c>
      <c r="F37" s="6" t="s">
        <v>22</v>
      </c>
      <c r="G37" s="6" t="s">
        <v>34</v>
      </c>
      <c r="H37" s="24">
        <f t="shared" si="0"/>
        <v>2000</v>
      </c>
      <c r="I37" s="21" t="str">
        <f t="shared" si="1"/>
        <v>未</v>
      </c>
    </row>
    <row r="38" spans="2:9" x14ac:dyDescent="0.4">
      <c r="B38" s="7" t="s">
        <v>51</v>
      </c>
      <c r="C38" s="23">
        <v>41456</v>
      </c>
      <c r="D38" s="23">
        <v>42370</v>
      </c>
      <c r="E38" s="10" t="s">
        <v>24</v>
      </c>
      <c r="F38" s="6" t="s">
        <v>22</v>
      </c>
      <c r="G38" s="6" t="s">
        <v>5</v>
      </c>
      <c r="H38" s="24">
        <f t="shared" si="0"/>
        <v>2000</v>
      </c>
      <c r="I38" s="21" t="str">
        <f t="shared" si="1"/>
        <v>済</v>
      </c>
    </row>
    <row r="39" spans="2:9" x14ac:dyDescent="0.4">
      <c r="B39" s="7" t="s">
        <v>58</v>
      </c>
      <c r="C39" s="23">
        <v>41214</v>
      </c>
      <c r="D39" s="23">
        <v>42370</v>
      </c>
      <c r="E39" s="10" t="s">
        <v>24</v>
      </c>
      <c r="F39" s="6" t="s">
        <v>25</v>
      </c>
      <c r="G39" s="6" t="s">
        <v>6</v>
      </c>
      <c r="H39" s="24">
        <f t="shared" si="0"/>
        <v>2400</v>
      </c>
      <c r="I39" s="21" t="str">
        <f t="shared" si="1"/>
        <v>済</v>
      </c>
    </row>
    <row r="40" spans="2:9" x14ac:dyDescent="0.4">
      <c r="B40" s="7" t="s">
        <v>59</v>
      </c>
      <c r="C40" s="23">
        <v>40664</v>
      </c>
      <c r="D40" s="23">
        <v>42491</v>
      </c>
      <c r="E40" s="10" t="s">
        <v>37</v>
      </c>
      <c r="F40" s="6" t="s">
        <v>25</v>
      </c>
      <c r="G40" s="6" t="s">
        <v>6</v>
      </c>
      <c r="H40" s="24">
        <f t="shared" si="0"/>
        <v>2400</v>
      </c>
      <c r="I40" s="21" t="str">
        <f t="shared" si="1"/>
        <v>当月</v>
      </c>
    </row>
    <row r="41" spans="2:9" x14ac:dyDescent="0.4">
      <c r="B41" s="7" t="s">
        <v>60</v>
      </c>
      <c r="C41" s="23">
        <v>40422</v>
      </c>
      <c r="D41" s="23">
        <v>42401</v>
      </c>
      <c r="E41" s="10" t="s">
        <v>21</v>
      </c>
      <c r="F41" s="6" t="s">
        <v>25</v>
      </c>
      <c r="G41" s="6" t="s">
        <v>28</v>
      </c>
      <c r="H41" s="24">
        <f t="shared" si="0"/>
        <v>3000</v>
      </c>
      <c r="I41" s="21" t="str">
        <f t="shared" si="1"/>
        <v>済</v>
      </c>
    </row>
    <row r="42" spans="2:9" x14ac:dyDescent="0.4">
      <c r="B42" s="7" t="s">
        <v>61</v>
      </c>
      <c r="C42" s="23">
        <v>40756</v>
      </c>
      <c r="D42" s="23">
        <v>42583</v>
      </c>
      <c r="E42" s="10" t="s">
        <v>30</v>
      </c>
      <c r="F42" s="6" t="s">
        <v>22</v>
      </c>
      <c r="G42" s="6" t="s">
        <v>34</v>
      </c>
      <c r="H42" s="24">
        <f t="shared" si="0"/>
        <v>2000</v>
      </c>
      <c r="I42" s="21" t="str">
        <f t="shared" si="1"/>
        <v>未</v>
      </c>
    </row>
    <row r="43" spans="2:9" x14ac:dyDescent="0.4">
      <c r="B43" s="7" t="s">
        <v>52</v>
      </c>
      <c r="C43" s="23">
        <v>41944</v>
      </c>
      <c r="D43" s="23">
        <v>42370</v>
      </c>
      <c r="E43" s="10" t="s">
        <v>24</v>
      </c>
      <c r="F43" s="6" t="s">
        <v>25</v>
      </c>
      <c r="G43" s="6" t="s">
        <v>32</v>
      </c>
      <c r="H43" s="24">
        <f t="shared" si="0"/>
        <v>2400</v>
      </c>
      <c r="I43" s="21" t="str">
        <f t="shared" si="1"/>
        <v>済</v>
      </c>
    </row>
    <row r="44" spans="2:9" x14ac:dyDescent="0.4">
      <c r="B44" s="7" t="s">
        <v>62</v>
      </c>
      <c r="C44" s="23">
        <v>41183</v>
      </c>
      <c r="D44" s="23">
        <v>42614</v>
      </c>
      <c r="E44" s="10" t="s">
        <v>41</v>
      </c>
      <c r="F44" s="6" t="s">
        <v>22</v>
      </c>
      <c r="G44" s="6" t="s">
        <v>5</v>
      </c>
      <c r="H44" s="24">
        <f t="shared" si="0"/>
        <v>2000</v>
      </c>
      <c r="I44" s="21" t="str">
        <f t="shared" si="1"/>
        <v>未</v>
      </c>
    </row>
    <row r="45" spans="2:9" x14ac:dyDescent="0.4">
      <c r="B45" s="7" t="s">
        <v>63</v>
      </c>
      <c r="C45" s="23">
        <v>40634</v>
      </c>
      <c r="D45" s="23">
        <v>42522</v>
      </c>
      <c r="E45" s="10" t="s">
        <v>53</v>
      </c>
      <c r="F45" s="6" t="s">
        <v>22</v>
      </c>
      <c r="G45" s="6" t="s">
        <v>28</v>
      </c>
      <c r="H45" s="24">
        <f t="shared" si="0"/>
        <v>3000</v>
      </c>
      <c r="I45" s="21" t="str">
        <f t="shared" si="1"/>
        <v>未</v>
      </c>
    </row>
  </sheetData>
  <phoneticPr fontId="2"/>
  <conditionalFormatting sqref="C16:C45">
    <cfRule type="cellIs" dxfId="0" priority="1" operator="lessThan">
      <formula>41275</formula>
    </cfRule>
  </conditionalFormatting>
  <dataValidations count="1">
    <dataValidation type="textLength" operator="equal" allowBlank="1" showInputMessage="1" showErrorMessage="1" error="６文字以外の入力は受け付けていません。" prompt="６文字で入力すること。" sqref="B16:B45">
      <formula1>6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0"/>
  <sheetViews>
    <sheetView showGridLines="0" workbookViewId="0"/>
  </sheetViews>
  <sheetFormatPr defaultRowHeight="18.75" x14ac:dyDescent="0.4"/>
  <cols>
    <col min="1" max="1" width="3.625" customWidth="1"/>
    <col min="3" max="3" width="10.625" customWidth="1"/>
    <col min="4" max="4" width="11.625" customWidth="1"/>
  </cols>
  <sheetData>
    <row r="1" spans="1:4" x14ac:dyDescent="0.4">
      <c r="A1" s="11"/>
      <c r="B1" s="11"/>
      <c r="C1" s="11"/>
      <c r="D1" s="11"/>
    </row>
    <row r="2" spans="1:4" x14ac:dyDescent="0.4">
      <c r="A2" s="11"/>
      <c r="B2" s="11" t="s">
        <v>64</v>
      </c>
      <c r="C2" s="11"/>
      <c r="D2" s="11"/>
    </row>
    <row r="3" spans="1:4" x14ac:dyDescent="0.4">
      <c r="A3" s="11"/>
      <c r="B3" s="11"/>
      <c r="C3" s="11"/>
      <c r="D3" s="11"/>
    </row>
    <row r="4" spans="1:4" x14ac:dyDescent="0.4">
      <c r="A4" s="11"/>
      <c r="B4" s="5" t="s">
        <v>65</v>
      </c>
      <c r="C4" s="5" t="s">
        <v>66</v>
      </c>
      <c r="D4" s="5" t="s">
        <v>67</v>
      </c>
    </row>
    <row r="5" spans="1:4" x14ac:dyDescent="0.4">
      <c r="A5" s="11"/>
      <c r="B5" s="6" t="s">
        <v>5</v>
      </c>
      <c r="C5" s="6">
        <v>2</v>
      </c>
      <c r="D5" s="6">
        <v>4</v>
      </c>
    </row>
    <row r="6" spans="1:4" x14ac:dyDescent="0.4">
      <c r="A6" s="11"/>
      <c r="B6" s="6" t="s">
        <v>6</v>
      </c>
      <c r="C6" s="6">
        <v>6</v>
      </c>
      <c r="D6" s="6">
        <v>2</v>
      </c>
    </row>
    <row r="7" spans="1:4" x14ac:dyDescent="0.4">
      <c r="A7" s="11"/>
      <c r="B7" s="6" t="s">
        <v>7</v>
      </c>
      <c r="C7" s="6">
        <v>2</v>
      </c>
      <c r="D7" s="6">
        <v>3</v>
      </c>
    </row>
    <row r="8" spans="1:4" x14ac:dyDescent="0.4">
      <c r="A8" s="11"/>
      <c r="B8" s="7" t="s">
        <v>8</v>
      </c>
      <c r="C8" s="6">
        <v>4</v>
      </c>
      <c r="D8" s="6">
        <v>2</v>
      </c>
    </row>
    <row r="9" spans="1:4" x14ac:dyDescent="0.4">
      <c r="A9" s="11"/>
      <c r="B9" s="7" t="s">
        <v>9</v>
      </c>
      <c r="C9" s="6">
        <v>1</v>
      </c>
      <c r="D9" s="6">
        <v>4</v>
      </c>
    </row>
    <row r="10" spans="1:4" x14ac:dyDescent="0.4">
      <c r="A10" s="11"/>
      <c r="B10" s="11"/>
      <c r="C10" s="11"/>
      <c r="D10" s="11"/>
    </row>
  </sheetData>
  <phoneticPr fontId="2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1"/>
  <sheetViews>
    <sheetView showGridLines="0" workbookViewId="0"/>
  </sheetViews>
  <sheetFormatPr defaultRowHeight="18.75" x14ac:dyDescent="0.4"/>
  <cols>
    <col min="1" max="1" width="3.625" customWidth="1"/>
    <col min="2" max="2" width="4.625" customWidth="1"/>
    <col min="3" max="4" width="10.625" customWidth="1"/>
    <col min="5" max="5" width="5.625" customWidth="1"/>
    <col min="6" max="7" width="9.625" customWidth="1"/>
  </cols>
  <sheetData>
    <row r="1" spans="1:7" x14ac:dyDescent="0.4">
      <c r="A1" s="4"/>
      <c r="B1" s="4"/>
      <c r="C1" s="4"/>
      <c r="D1" s="4"/>
      <c r="E1" s="4"/>
      <c r="F1" s="4"/>
      <c r="G1" s="4"/>
    </row>
    <row r="2" spans="1:7" ht="24" x14ac:dyDescent="0.4">
      <c r="A2" s="4"/>
      <c r="B2" s="16" t="s">
        <v>68</v>
      </c>
      <c r="C2" s="17"/>
      <c r="D2" s="17"/>
      <c r="E2" s="4"/>
      <c r="F2" s="4"/>
      <c r="G2" s="4"/>
    </row>
    <row r="3" spans="1:7" x14ac:dyDescent="0.4">
      <c r="A3" s="4"/>
      <c r="B3" s="4"/>
      <c r="C3" s="4"/>
      <c r="D3" s="4"/>
      <c r="E3" s="4"/>
      <c r="F3" s="4"/>
      <c r="G3" s="4"/>
    </row>
    <row r="4" spans="1:7" x14ac:dyDescent="0.4">
      <c r="A4" s="4"/>
      <c r="B4" s="4"/>
      <c r="C4" s="5" t="s">
        <v>69</v>
      </c>
      <c r="D4" s="12">
        <v>249.99999999999963</v>
      </c>
      <c r="E4" s="4"/>
      <c r="F4" s="4"/>
      <c r="G4" s="4"/>
    </row>
    <row r="5" spans="1:7" x14ac:dyDescent="0.4">
      <c r="A5" s="4"/>
      <c r="B5" s="4"/>
      <c r="C5" s="4"/>
      <c r="D5" s="4"/>
      <c r="E5" s="4"/>
      <c r="F5" s="4"/>
      <c r="G5" s="4"/>
    </row>
    <row r="6" spans="1:7" x14ac:dyDescent="0.4">
      <c r="A6" s="4"/>
      <c r="B6" s="5" t="s">
        <v>70</v>
      </c>
      <c r="C6" s="5" t="s">
        <v>71</v>
      </c>
      <c r="D6" s="5" t="s">
        <v>72</v>
      </c>
      <c r="E6" s="5" t="s">
        <v>73</v>
      </c>
      <c r="F6" s="5" t="s">
        <v>74</v>
      </c>
      <c r="G6" s="5" t="s">
        <v>75</v>
      </c>
    </row>
    <row r="7" spans="1:7" x14ac:dyDescent="0.4">
      <c r="A7" s="4"/>
      <c r="B7" s="6">
        <v>1</v>
      </c>
      <c r="C7" s="12">
        <v>2000</v>
      </c>
      <c r="D7" s="12">
        <f>C7+$D$4</f>
        <v>2249.9999999999995</v>
      </c>
      <c r="E7" s="6">
        <v>6</v>
      </c>
      <c r="F7" s="12">
        <f>C7*E7</f>
        <v>12000</v>
      </c>
      <c r="G7" s="12">
        <f>D7*E7</f>
        <v>13499.999999999996</v>
      </c>
    </row>
    <row r="8" spans="1:7" x14ac:dyDescent="0.4">
      <c r="A8" s="4"/>
      <c r="B8" s="6">
        <v>2</v>
      </c>
      <c r="C8" s="12">
        <v>2400</v>
      </c>
      <c r="D8" s="12">
        <f>C8+$D$4</f>
        <v>2649.9999999999995</v>
      </c>
      <c r="E8" s="6">
        <v>5</v>
      </c>
      <c r="F8" s="12">
        <f>C8*E8</f>
        <v>12000</v>
      </c>
      <c r="G8" s="12">
        <f>D8*E8</f>
        <v>13249.999999999998</v>
      </c>
    </row>
    <row r="9" spans="1:7" x14ac:dyDescent="0.4">
      <c r="A9" s="4"/>
      <c r="B9" s="6">
        <v>3</v>
      </c>
      <c r="C9" s="12">
        <v>3000</v>
      </c>
      <c r="D9" s="12">
        <f>C9+$D$4</f>
        <v>3249.9999999999995</v>
      </c>
      <c r="E9" s="6">
        <v>7</v>
      </c>
      <c r="F9" s="12">
        <f>C9*E9</f>
        <v>21000</v>
      </c>
      <c r="G9" s="12">
        <f>D9*E9</f>
        <v>22749.999999999996</v>
      </c>
    </row>
    <row r="10" spans="1:7" x14ac:dyDescent="0.4">
      <c r="A10" s="4"/>
      <c r="B10" s="4"/>
      <c r="C10" s="4"/>
      <c r="D10" s="4"/>
      <c r="E10" s="5" t="s">
        <v>76</v>
      </c>
      <c r="F10" s="12">
        <f>SUM(F7:F9)</f>
        <v>45000</v>
      </c>
      <c r="G10" s="12">
        <f>SUM(G7:G9)</f>
        <v>49499.999999999985</v>
      </c>
    </row>
    <row r="11" spans="1:7" x14ac:dyDescent="0.4">
      <c r="A11" s="4"/>
      <c r="B11" s="4"/>
      <c r="C11" s="4"/>
      <c r="D11" s="4"/>
      <c r="E11" s="13" t="s">
        <v>77</v>
      </c>
      <c r="F11" s="14"/>
      <c r="G11" s="15">
        <f>G10/F10-1</f>
        <v>9.9999999999999645E-2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ピボット</vt:lpstr>
      <vt:lpstr>利用状況</vt:lpstr>
      <vt:lpstr>各部屋状況</vt:lpstr>
      <vt:lpstr>値上げ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Certify</dc:creator>
  <dcterms:created xsi:type="dcterms:W3CDTF">2016-05-26T06:28:02Z</dcterms:created>
  <dcterms:modified xsi:type="dcterms:W3CDTF">2016-08-08T05:30:09Z</dcterms:modified>
</cp:coreProperties>
</file>