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6729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uriharamariko\Desktop\Excel3級問題集2016\二校\EL3級2016問題集実技用データ\木下様検証用\模擬問題２\"/>
    </mc:Choice>
  </mc:AlternateContent>
  <bookViews>
    <workbookView xWindow="0" yWindow="0" windowWidth="28800" windowHeight="12120" activeTab="1"/>
  </bookViews>
  <sheets>
    <sheet name="Graph1" sheetId="3" r:id="rId1"/>
    <sheet name="人口調査" sheetId="1" r:id="rId2"/>
    <sheet name="分析" sheetId="2" r:id="rId3"/>
  </sheets>
  <definedNames>
    <definedName name="_xlnm.Print_Area" localSheetId="1">人口調査!$B$3:$H$21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8" i="1" l="1"/>
  <c r="G9" i="1"/>
  <c r="G10" i="1"/>
  <c r="G11" i="1"/>
  <c r="G12" i="1"/>
  <c r="G13" i="1"/>
  <c r="G14" i="1"/>
  <c r="G15" i="1"/>
  <c r="G16" i="1"/>
  <c r="G7" i="1"/>
  <c r="D18" i="1" l="1"/>
  <c r="E18" i="1"/>
  <c r="F18" i="1"/>
  <c r="D19" i="1"/>
  <c r="E19" i="1"/>
  <c r="F19" i="1"/>
  <c r="D20" i="1"/>
  <c r="E20" i="1"/>
  <c r="F20" i="1"/>
  <c r="C20" i="1"/>
  <c r="C19" i="1"/>
  <c r="C18" i="1"/>
  <c r="C17" i="1"/>
  <c r="D17" i="1"/>
  <c r="E17" i="1"/>
  <c r="F17" i="1"/>
  <c r="F7" i="1"/>
  <c r="F8" i="1"/>
  <c r="F9" i="1"/>
  <c r="F10" i="1"/>
  <c r="F11" i="1"/>
  <c r="F12" i="1"/>
  <c r="F13" i="1"/>
  <c r="F14" i="1"/>
  <c r="F15" i="1"/>
  <c r="F16" i="1"/>
</calcChain>
</file>

<file path=xl/sharedStrings.xml><?xml version="1.0" encoding="utf-8"?>
<sst xmlns="http://schemas.openxmlformats.org/spreadsheetml/2006/main" count="41" uniqueCount="30">
  <si>
    <t>受験番号</t>
    <rPh sb="0" eb="2">
      <t>ジュケン</t>
    </rPh>
    <rPh sb="2" eb="4">
      <t>バンゴウ</t>
    </rPh>
    <phoneticPr fontId="4"/>
  </si>
  <si>
    <t>受験者氏名</t>
    <rPh sb="0" eb="3">
      <t>ジュケンシャ</t>
    </rPh>
    <rPh sb="3" eb="5">
      <t>シメイ</t>
    </rPh>
    <phoneticPr fontId="4"/>
  </si>
  <si>
    <t>都市</t>
    <rPh sb="0" eb="2">
      <t>トシ</t>
    </rPh>
    <phoneticPr fontId="3"/>
  </si>
  <si>
    <t>１９歳未満</t>
    <rPh sb="2" eb="5">
      <t>サイミマン</t>
    </rPh>
    <phoneticPr fontId="3"/>
  </si>
  <si>
    <t>１９～６０歳</t>
    <rPh sb="5" eb="6">
      <t>サイ</t>
    </rPh>
    <phoneticPr fontId="3"/>
  </si>
  <si>
    <t>６０歳以上</t>
    <rPh sb="2" eb="3">
      <t>サイ</t>
    </rPh>
    <rPh sb="3" eb="5">
      <t>イジョウ</t>
    </rPh>
    <phoneticPr fontId="3"/>
  </si>
  <si>
    <t>Ａ市</t>
    <rPh sb="1" eb="2">
      <t>シ</t>
    </rPh>
    <phoneticPr fontId="3"/>
  </si>
  <si>
    <t>Ｂ市</t>
    <rPh sb="1" eb="2">
      <t>シ</t>
    </rPh>
    <phoneticPr fontId="3"/>
  </si>
  <si>
    <t>Ｃ市</t>
    <rPh sb="1" eb="2">
      <t>シ</t>
    </rPh>
    <phoneticPr fontId="3"/>
  </si>
  <si>
    <t>Ｄ市</t>
    <rPh sb="1" eb="2">
      <t>シ</t>
    </rPh>
    <phoneticPr fontId="3"/>
  </si>
  <si>
    <t>Ｅ市</t>
    <rPh sb="1" eb="2">
      <t>シ</t>
    </rPh>
    <phoneticPr fontId="3"/>
  </si>
  <si>
    <t>Ｆ市</t>
    <rPh sb="1" eb="2">
      <t>シ</t>
    </rPh>
    <phoneticPr fontId="3"/>
  </si>
  <si>
    <t>Ｇ市</t>
    <rPh sb="1" eb="2">
      <t>シ</t>
    </rPh>
    <phoneticPr fontId="3"/>
  </si>
  <si>
    <t>Ｈ市</t>
    <rPh sb="1" eb="2">
      <t>シ</t>
    </rPh>
    <phoneticPr fontId="3"/>
  </si>
  <si>
    <t>Ｉ市</t>
    <rPh sb="1" eb="2">
      <t>シ</t>
    </rPh>
    <phoneticPr fontId="3"/>
  </si>
  <si>
    <t>Ｊ市</t>
    <rPh sb="1" eb="2">
      <t>シ</t>
    </rPh>
    <phoneticPr fontId="3"/>
  </si>
  <si>
    <t>都市別子供人口比較</t>
  </si>
  <si>
    <t>０～５歳</t>
    <rPh sb="3" eb="4">
      <t>サイ</t>
    </rPh>
    <phoneticPr fontId="3"/>
  </si>
  <si>
    <t>６～１１歳</t>
    <rPh sb="4" eb="5">
      <t>サイ</t>
    </rPh>
    <phoneticPr fontId="3"/>
  </si>
  <si>
    <t>１２～１４歳</t>
    <rPh sb="5" eb="6">
      <t>サイ</t>
    </rPh>
    <phoneticPr fontId="3"/>
  </si>
  <si>
    <t>１５～１８歳</t>
    <rPh sb="5" eb="6">
      <t>サイ</t>
    </rPh>
    <phoneticPr fontId="3"/>
  </si>
  <si>
    <t>合計</t>
    <rPh sb="0" eb="2">
      <t>ゴウケイ</t>
    </rPh>
    <phoneticPr fontId="3"/>
  </si>
  <si>
    <t>サーティファイ</t>
    <phoneticPr fontId="3"/>
  </si>
  <si>
    <t>総人口</t>
    <rPh sb="0" eb="3">
      <t>ソウジンコウ</t>
    </rPh>
    <phoneticPr fontId="3"/>
  </si>
  <si>
    <t>１９歳未満総人口比</t>
    <rPh sb="2" eb="3">
      <t>サイ</t>
    </rPh>
    <rPh sb="3" eb="5">
      <t>ミマン</t>
    </rPh>
    <rPh sb="5" eb="8">
      <t>ソウジンコウ</t>
    </rPh>
    <rPh sb="8" eb="9">
      <t>ヒ</t>
    </rPh>
    <phoneticPr fontId="3"/>
  </si>
  <si>
    <t>世代別比較</t>
    <rPh sb="0" eb="2">
      <t>セダイ</t>
    </rPh>
    <rPh sb="2" eb="3">
      <t>ベツ</t>
    </rPh>
    <rPh sb="3" eb="5">
      <t>ヒカク</t>
    </rPh>
    <phoneticPr fontId="3"/>
  </si>
  <si>
    <t>合計</t>
    <rPh sb="0" eb="2">
      <t>ゴウケイ</t>
    </rPh>
    <phoneticPr fontId="3"/>
  </si>
  <si>
    <t>平均</t>
    <rPh sb="0" eb="2">
      <t>ヘイキン</t>
    </rPh>
    <phoneticPr fontId="3"/>
  </si>
  <si>
    <t>最大</t>
    <rPh sb="0" eb="2">
      <t>サイダイ</t>
    </rPh>
    <phoneticPr fontId="3"/>
  </si>
  <si>
    <t>最小</t>
    <rPh sb="0" eb="2">
      <t>サイショウ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</si>
</sst>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%"/>
  </numFmts>
  <fonts count="7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b/>
      <i/>
      <sz val="11"/>
      <color theme="8" tint="-0.499984740745262"/>
      <name val="游ゴシック"/>
      <family val="3"/>
      <charset val="128"/>
    </font>
    <font>
      <sz val="11"/>
      <name val="游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0" xfId="0" applyFont="1" applyBorder="1">
      <alignment vertical="center"/>
    </xf>
    <xf numFmtId="0" fontId="2" fillId="0" borderId="0" xfId="0" applyFont="1">
      <alignment vertical="center"/>
    </xf>
    <xf numFmtId="0" fontId="5" fillId="0" borderId="0" xfId="0" applyFont="1">
      <alignment vertical="center"/>
    </xf>
    <xf numFmtId="38" fontId="6" fillId="0" borderId="3" xfId="1" applyNumberFormat="1" applyFont="1" applyFill="1" applyBorder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10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5" xfId="0" applyFont="1" applyBorder="1">
      <alignment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distributed" vertical="center" indent="1"/>
    </xf>
    <xf numFmtId="0" fontId="2" fillId="0" borderId="9" xfId="0" applyFont="1" applyBorder="1" applyAlignment="1">
      <alignment horizontal="distributed" vertical="center" indent="1"/>
    </xf>
    <xf numFmtId="0" fontId="2" fillId="0" borderId="11" xfId="0" applyFont="1" applyBorder="1" applyAlignment="1">
      <alignment horizontal="distributed" vertical="center" indent="1"/>
    </xf>
    <xf numFmtId="176" fontId="2" fillId="0" borderId="5" xfId="2" applyNumberFormat="1" applyFont="1" applyBorder="1">
      <alignment vertical="center"/>
    </xf>
    <xf numFmtId="176" fontId="2" fillId="0" borderId="3" xfId="2" applyNumberFormat="1" applyFont="1" applyBorder="1">
      <alignment vertical="center"/>
    </xf>
    <xf numFmtId="176" fontId="2" fillId="0" borderId="12" xfId="2" applyNumberFormat="1" applyFont="1" applyBorder="1">
      <alignment vertical="center"/>
    </xf>
    <xf numFmtId="38" fontId="2" fillId="0" borderId="5" xfId="1" applyFont="1" applyBorder="1">
      <alignment vertical="center"/>
    </xf>
    <xf numFmtId="38" fontId="2" fillId="0" borderId="3" xfId="1" applyFont="1" applyBorder="1">
      <alignment vertical="center"/>
    </xf>
    <xf numFmtId="38" fontId="2" fillId="0" borderId="12" xfId="1" applyFont="1" applyBorder="1">
      <alignment vertical="center"/>
    </xf>
    <xf numFmtId="38" fontId="2" fillId="0" borderId="7" xfId="1" applyFont="1" applyBorder="1">
      <alignment vertical="center"/>
    </xf>
    <xf numFmtId="38" fontId="2" fillId="0" borderId="8" xfId="1" applyFont="1" applyBorder="1">
      <alignment vertical="center"/>
    </xf>
    <xf numFmtId="38" fontId="2" fillId="0" borderId="10" xfId="1" applyFont="1" applyBorder="1">
      <alignment vertical="center"/>
    </xf>
    <xf numFmtId="38" fontId="2" fillId="0" borderId="13" xfId="1" applyFont="1" applyBorder="1">
      <alignment vertical="center"/>
    </xf>
    <xf numFmtId="0" fontId="6" fillId="0" borderId="2" xfId="0" applyFont="1" applyFill="1" applyBorder="1" applyAlignment="1">
      <alignment horizontal="distributed" vertical="center" indent="1"/>
    </xf>
    <xf numFmtId="38" fontId="6" fillId="0" borderId="1" xfId="1" applyNumberFormat="1" applyFont="1" applyFill="1" applyBorder="1">
      <alignment vertical="center"/>
    </xf>
    <xf numFmtId="0" fontId="6" fillId="0" borderId="19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distributed" vertical="center" indent="1"/>
    </xf>
    <xf numFmtId="38" fontId="6" fillId="0" borderId="4" xfId="1" applyNumberFormat="1" applyFont="1" applyFill="1" applyBorder="1">
      <alignment vertical="center"/>
    </xf>
    <xf numFmtId="38" fontId="6" fillId="0" borderId="22" xfId="1" applyNumberFormat="1" applyFont="1" applyFill="1" applyBorder="1">
      <alignment vertical="center"/>
    </xf>
  </cellXfs>
  <cellStyles count="3">
    <cellStyle name="パーセント" xfId="2" builtinId="5"/>
    <cellStyle name="桁区切り" xfId="1" builtinId="6"/>
    <cellStyle name="標準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游ゴシック"/>
        <family val="3"/>
        <charset val="128"/>
        <scheme val="none"/>
      </font>
      <numFmt numFmtId="6" formatCode="#,##0;[Red]\-#,##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游ゴシック"/>
        <family val="3"/>
        <charset val="128"/>
        <scheme val="none"/>
      </font>
      <numFmt numFmtId="6" formatCode="#,##0;[Red]\-#,##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游ゴシック"/>
        <family val="3"/>
        <charset val="128"/>
        <scheme val="none"/>
      </font>
      <numFmt numFmtId="6" formatCode="#,##0;[Red]\-#,##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游ゴシック"/>
        <family val="3"/>
        <charset val="128"/>
        <scheme val="none"/>
      </font>
      <numFmt numFmtId="6" formatCode="#,##0;[Red]\-#,##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游ゴシック"/>
        <family val="3"/>
        <charset val="128"/>
        <scheme val="none"/>
      </font>
      <numFmt numFmtId="6" formatCode="#,##0;[Red]\-#,##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游ゴシック"/>
        <family val="3"/>
        <charset val="128"/>
        <scheme val="none"/>
      </font>
      <fill>
        <patternFill patternType="none">
          <fgColor indexed="64"/>
          <bgColor indexed="65"/>
        </patternFill>
      </fill>
      <alignment horizontal="distributed" vertical="center" textRotation="0" wrapText="0" indent="1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游ゴシック"/>
        <family val="3"/>
        <charset val="128"/>
        <scheme val="none"/>
      </font>
      <fill>
        <patternFill patternType="none">
          <fgColor indexed="64"/>
          <bgColor indexed="65"/>
        </patternFill>
      </fill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游ゴシック"/>
        <family val="3"/>
        <charset val="128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calcChain" Target="calcChain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none" spc="0" normalizeH="0" baseline="0">
                <a:solidFill>
                  <a:schemeClr val="bg1"/>
                </a:solidFill>
                <a:latin typeface="+mj-lt"/>
                <a:ea typeface="+mj-ea"/>
                <a:cs typeface="+mj-cs"/>
              </a:defRPr>
            </a:pPr>
            <a:r>
              <a:rPr lang="ja-JP" altLang="en-US" sz="1800">
                <a:solidFill>
                  <a:schemeClr val="bg1"/>
                </a:solidFill>
              </a:rPr>
              <a:t>子供・高齢者人口比較</a:t>
            </a:r>
            <a:endParaRPr lang="ja-JP" sz="1800">
              <a:solidFill>
                <a:schemeClr val="bg1"/>
              </a:solidFill>
            </a:endParaRPr>
          </a:p>
        </c:rich>
      </c:tx>
      <c:overlay val="0"/>
      <c:spPr>
        <a:solidFill>
          <a:schemeClr val="accent1"/>
        </a:solidFill>
        <a:ln>
          <a:noFill/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none" spc="0" normalizeH="0" baseline="0">
              <a:solidFill>
                <a:schemeClr val="bg1"/>
              </a:solidFill>
              <a:latin typeface="+mj-lt"/>
              <a:ea typeface="+mj-ea"/>
              <a:cs typeface="+mj-cs"/>
            </a:defRPr>
          </a:pPr>
          <a:endParaRPr lang="ja-JP"/>
        </a:p>
      </c:txPr>
    </c:title>
    <c:autoTitleDeleted val="0"/>
    <c:view3D>
      <c:rotX val="15"/>
      <c:rotY val="20"/>
      <c:depthPercent val="100"/>
      <c:rAngAx val="0"/>
    </c:view3D>
    <c:floor>
      <c:thickness val="0"/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  <a:sp3d/>
      </c:spPr>
    </c:floor>
    <c:sideWall>
      <c:thickness val="0"/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  <a:sp3d/>
      </c:spPr>
    </c:sideWall>
    <c:backWall>
      <c:thickness val="0"/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  <a:sp3d/>
      </c:spPr>
    </c:backWall>
    <c:plotArea>
      <c:layout/>
      <c:area3DChart>
        <c:grouping val="standard"/>
        <c:varyColors val="0"/>
        <c:ser>
          <c:idx val="0"/>
          <c:order val="0"/>
          <c:tx>
            <c:strRef>
              <c:f>人口調査!$C$6</c:f>
              <c:strCache>
                <c:ptCount val="1"/>
                <c:pt idx="0">
                  <c:v>１９歳未満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cat>
            <c:strRef>
              <c:f>人口調査!$B$7:$B$16</c:f>
              <c:strCache>
                <c:ptCount val="10"/>
                <c:pt idx="0">
                  <c:v>Ａ市</c:v>
                </c:pt>
                <c:pt idx="1">
                  <c:v>Ｂ市</c:v>
                </c:pt>
                <c:pt idx="2">
                  <c:v>Ｃ市</c:v>
                </c:pt>
                <c:pt idx="3">
                  <c:v>Ｄ市</c:v>
                </c:pt>
                <c:pt idx="4">
                  <c:v>Ｅ市</c:v>
                </c:pt>
                <c:pt idx="5">
                  <c:v>Ｆ市</c:v>
                </c:pt>
                <c:pt idx="6">
                  <c:v>Ｇ市</c:v>
                </c:pt>
                <c:pt idx="7">
                  <c:v>Ｈ市</c:v>
                </c:pt>
                <c:pt idx="8">
                  <c:v>Ｉ市</c:v>
                </c:pt>
                <c:pt idx="9">
                  <c:v>Ｊ市</c:v>
                </c:pt>
              </c:strCache>
            </c:strRef>
          </c:cat>
          <c:val>
            <c:numRef>
              <c:f>人口調査!$C$7:$C$16</c:f>
              <c:numCache>
                <c:formatCode>#,##0_);[Red]\(#,##0\)</c:formatCode>
                <c:ptCount val="10"/>
                <c:pt idx="0">
                  <c:v>11655</c:v>
                </c:pt>
                <c:pt idx="1">
                  <c:v>17577</c:v>
                </c:pt>
                <c:pt idx="2">
                  <c:v>12431</c:v>
                </c:pt>
                <c:pt idx="3">
                  <c:v>6991</c:v>
                </c:pt>
                <c:pt idx="4">
                  <c:v>9513</c:v>
                </c:pt>
                <c:pt idx="5">
                  <c:v>8061</c:v>
                </c:pt>
                <c:pt idx="6">
                  <c:v>14616</c:v>
                </c:pt>
                <c:pt idx="7">
                  <c:v>19458</c:v>
                </c:pt>
                <c:pt idx="8">
                  <c:v>6582</c:v>
                </c:pt>
                <c:pt idx="9">
                  <c:v>14772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F0-4FCA-95E8-C7F230F21726}"/>
            </c:ext>
          </c:extLst>
        </c:ser>
        <c:ser>
          <c:idx val="1"/>
          <c:order val="1"/>
          <c:tx>
            <c:strRef>
              <c:f>人口調査!$E$6</c:f>
              <c:strCache>
                <c:ptCount val="1"/>
                <c:pt idx="0">
                  <c:v>６０歳以上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cat>
            <c:strRef>
              <c:f>人口調査!$B$7:$B$16</c:f>
              <c:strCache>
                <c:ptCount val="10"/>
                <c:pt idx="0">
                  <c:v>Ａ市</c:v>
                </c:pt>
                <c:pt idx="1">
                  <c:v>Ｂ市</c:v>
                </c:pt>
                <c:pt idx="2">
                  <c:v>Ｃ市</c:v>
                </c:pt>
                <c:pt idx="3">
                  <c:v>Ｄ市</c:v>
                </c:pt>
                <c:pt idx="4">
                  <c:v>Ｅ市</c:v>
                </c:pt>
                <c:pt idx="5">
                  <c:v>Ｆ市</c:v>
                </c:pt>
                <c:pt idx="6">
                  <c:v>Ｇ市</c:v>
                </c:pt>
                <c:pt idx="7">
                  <c:v>Ｈ市</c:v>
                </c:pt>
                <c:pt idx="8">
                  <c:v>Ｉ市</c:v>
                </c:pt>
                <c:pt idx="9">
                  <c:v>Ｊ市</c:v>
                </c:pt>
              </c:strCache>
            </c:strRef>
          </c:cat>
          <c:val>
            <c:numRef>
              <c:f>人口調査!$E$7:$E$16</c:f>
              <c:numCache>
                <c:formatCode>#,##0_);[Red]\(#,##0\)</c:formatCode>
                <c:ptCount val="10"/>
                <c:pt idx="0">
                  <c:v>17808</c:v>
                </c:pt>
                <c:pt idx="1">
                  <c:v>37100</c:v>
                </c:pt>
                <c:pt idx="2">
                  <c:v>19204</c:v>
                </c:pt>
                <c:pt idx="3">
                  <c:v>19205</c:v>
                </c:pt>
                <c:pt idx="4">
                  <c:v>12202</c:v>
                </c:pt>
                <c:pt idx="5">
                  <c:v>19656</c:v>
                </c:pt>
                <c:pt idx="6">
                  <c:v>35284</c:v>
                </c:pt>
                <c:pt idx="7">
                  <c:v>26201</c:v>
                </c:pt>
                <c:pt idx="8">
                  <c:v>13907</c:v>
                </c:pt>
                <c:pt idx="9">
                  <c:v>30106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F0-4FCA-95E8-C7F230F217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8998016"/>
        <c:axId val="388997688"/>
        <c:axId val="376743736"/>
      </c:area3DChart>
      <c:catAx>
        <c:axId val="388998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88997688"/>
        <c:crosses val="autoZero"/>
        <c:auto val="1"/>
        <c:lblAlgn val="ctr"/>
        <c:lblOffset val="100"/>
        <c:noMultiLvlLbl val="0"/>
      </c:catAx>
      <c:valAx>
        <c:axId val="388997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88998016"/>
        <c:crosses val="autoZero"/>
        <c:crossBetween val="midCat"/>
        <c:majorUnit val="10000"/>
      </c:valAx>
      <c:serAx>
        <c:axId val="376743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88997688"/>
        <c:crosses val="autoZero"/>
      </c:serAx>
      <c:spPr>
        <a:solidFill>
          <a:schemeClr val="lt1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zero"/>
    <c:showDLblsOverMax val="0"/>
  </c:chart>
  <c:spPr>
    <a:solidFill>
      <a:schemeClr val="tx2">
        <a:lumMod val="20000"/>
        <a:lumOff val="80000"/>
      </a:schemeClr>
    </a:solidFill>
    <a:ln w="9525" cap="flat" cmpd="sng" algn="ctr">
      <a:solidFill>
        <a:schemeClr val="tx2"/>
      </a:solidFill>
      <a:round/>
    </a:ln>
    <a:effectLst>
      <a:outerShdw blurRad="50800" dist="38100" dir="18900000" algn="bl" rotWithShape="0">
        <a:prstClr val="black">
          <a:alpha val="40000"/>
        </a:prstClr>
      </a:outerShdw>
    </a:effectLst>
  </c:spPr>
  <c:txPr>
    <a:bodyPr/>
    <a:lstStyle/>
    <a:p>
      <a:pPr>
        <a:defRPr sz="1400" b="1"/>
      </a:pPr>
      <a:endParaRPr lang="ja-JP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20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2750" cy="6080125"/>
    <xdr:graphicFrame macro="">
      <xdr:nvGraphicFramePr>
        <xdr:cNvPr id="2" name="グラフ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2</xdr:row>
      <xdr:rowOff>85725</xdr:rowOff>
    </xdr:from>
    <xdr:ext cx="2723823" cy="564322"/>
    <xdr:sp macro="" textlink="">
      <xdr:nvSpPr>
        <xdr:cNvPr id="2" name="正方形/長方形 1"/>
        <xdr:cNvSpPr/>
      </xdr:nvSpPr>
      <xdr:spPr>
        <a:xfrm>
          <a:off x="314325" y="561975"/>
          <a:ext cx="2723823" cy="564322"/>
        </a:xfrm>
        <a:prstGeom prst="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wrap="none" lIns="91440" tIns="45720" rIns="91440" bIns="45720">
          <a:spAutoFit/>
        </a:bodyPr>
        <a:lstStyle/>
        <a:p>
          <a:pPr algn="ctr"/>
          <a:r>
            <a:rPr lang="ja-JP" altLang="en-US" sz="2200" b="1" cap="none" spc="0">
              <a:ln w="6600">
                <a:solidFill>
                  <a:schemeClr val="accent2"/>
                </a:solidFill>
                <a:prstDash val="solid"/>
              </a:ln>
              <a:solidFill>
                <a:srgbClr val="FFFFFF"/>
              </a:solidFill>
              <a:effectLst>
                <a:outerShdw dist="38100" dir="2700000" algn="tl" rotWithShape="0">
                  <a:schemeClr val="accent2"/>
                </a:outerShdw>
              </a:effectLst>
            </a:rPr>
            <a:t>都市別世代別人口表</a:t>
          </a:r>
        </a:p>
      </xdr:txBody>
    </xdr:sp>
    <xdr:clientData/>
  </xdr:oneCellAnchor>
</xdr:wsDr>
</file>

<file path=xl/tables/table1.xml><?xml version="1.0" encoding="utf-8"?>
<table xmlns="http://schemas.openxmlformats.org/spreadsheetml/2006/main" id="1" name="テーブル1" displayName="テーブル1" ref="B4:G14" totalsRowShown="0" headerRowDxfId="10" dataDxfId="8" headerRowBorderDxfId="9" tableBorderDxfId="7" totalsRowBorderDxfId="6" dataCellStyle="桁区切り">
  <autoFilter ref="B4:G14">
    <filterColumn colId="1">
      <customFilters>
        <customFilter operator="greaterThanOrEqual" val="2500"/>
      </customFilters>
    </filterColumn>
    <filterColumn colId="5">
      <top10 val="5" filterVal="12431"/>
    </filterColumn>
  </autoFilter>
  <sortState ref="B5:G14">
    <sortCondition descending="1" ref="G4:G14"/>
  </sortState>
  <tableColumns count="6">
    <tableColumn id="1" name="都市" dataDxfId="5"/>
    <tableColumn id="2" name="０～５歳" dataDxfId="4" dataCellStyle="桁区切り"/>
    <tableColumn id="3" name="６～１１歳" dataDxfId="3" dataCellStyle="桁区切り"/>
    <tableColumn id="4" name="１２～１４歳" dataDxfId="2" dataCellStyle="桁区切り"/>
    <tableColumn id="5" name="１５～１８歳" dataDxfId="1" dataCellStyle="桁区切り"/>
    <tableColumn id="6" name="合計" dataDxfId="0" dataCellStyle="桁区切り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showGridLines="0" tabSelected="1" workbookViewId="0"/>
  </sheetViews>
  <sheetFormatPr defaultRowHeight="18.75" x14ac:dyDescent="0.4"/>
  <cols>
    <col min="1" max="1" width="3.625" style="4" customWidth="1"/>
    <col min="2" max="2" width="9" style="4"/>
    <col min="3" max="6" width="13.625" style="4" customWidth="1"/>
    <col min="7" max="8" width="18.625" style="4" customWidth="1"/>
    <col min="9" max="16384" width="9" style="4"/>
  </cols>
  <sheetData>
    <row r="1" spans="1:8" x14ac:dyDescent="0.4">
      <c r="A1" s="1" t="s">
        <v>0</v>
      </c>
      <c r="B1" s="2"/>
      <c r="C1" s="7">
        <v>1234567</v>
      </c>
      <c r="D1" s="2"/>
      <c r="E1" s="3"/>
    </row>
    <row r="2" spans="1:8" x14ac:dyDescent="0.4">
      <c r="A2" s="1" t="s">
        <v>1</v>
      </c>
      <c r="B2" s="2"/>
      <c r="C2" s="1" t="s">
        <v>22</v>
      </c>
      <c r="D2" s="2"/>
      <c r="E2" s="3"/>
    </row>
    <row r="5" spans="1:8" ht="19.5" thickBot="1" x14ac:dyDescent="0.45"/>
    <row r="6" spans="1:8" ht="19.5" thickBot="1" x14ac:dyDescent="0.45">
      <c r="B6" s="11" t="s">
        <v>2</v>
      </c>
      <c r="C6" s="12" t="s">
        <v>3</v>
      </c>
      <c r="D6" s="12" t="s">
        <v>4</v>
      </c>
      <c r="E6" s="12" t="s">
        <v>5</v>
      </c>
      <c r="F6" s="12" t="s">
        <v>23</v>
      </c>
      <c r="G6" s="12" t="s">
        <v>24</v>
      </c>
      <c r="H6" s="13" t="s">
        <v>25</v>
      </c>
    </row>
    <row r="7" spans="1:8" ht="19.5" thickTop="1" x14ac:dyDescent="0.4">
      <c r="B7" s="17" t="s">
        <v>6</v>
      </c>
      <c r="C7" s="23">
        <v>11655</v>
      </c>
      <c r="D7" s="23">
        <v>16012</v>
      </c>
      <c r="E7" s="23">
        <v>17808</v>
      </c>
      <c r="F7" s="23">
        <f t="shared" ref="F7:F16" si="0">SUM(C7:E7)</f>
        <v>45475</v>
      </c>
      <c r="G7" s="20">
        <f>ROUNDUP(C7/F7,3)</f>
        <v>0.25700000000000001</v>
      </c>
      <c r="H7" s="10"/>
    </row>
    <row r="8" spans="1:8" x14ac:dyDescent="0.4">
      <c r="B8" s="18" t="s">
        <v>7</v>
      </c>
      <c r="C8" s="24">
        <v>17577</v>
      </c>
      <c r="D8" s="24">
        <v>33907</v>
      </c>
      <c r="E8" s="24">
        <v>37100</v>
      </c>
      <c r="F8" s="24">
        <f t="shared" si="0"/>
        <v>88584</v>
      </c>
      <c r="G8" s="21">
        <f t="shared" ref="G8:G16" si="1">ROUNDUP(C8/F8,3)</f>
        <v>0.19900000000000001</v>
      </c>
      <c r="H8" s="8"/>
    </row>
    <row r="9" spans="1:8" x14ac:dyDescent="0.4">
      <c r="B9" s="18" t="s">
        <v>8</v>
      </c>
      <c r="C9" s="24">
        <v>12431</v>
      </c>
      <c r="D9" s="24">
        <v>15656</v>
      </c>
      <c r="E9" s="24">
        <v>19204</v>
      </c>
      <c r="F9" s="24">
        <f t="shared" si="0"/>
        <v>47291</v>
      </c>
      <c r="G9" s="21">
        <f t="shared" si="1"/>
        <v>0.26300000000000001</v>
      </c>
      <c r="H9" s="8"/>
    </row>
    <row r="10" spans="1:8" x14ac:dyDescent="0.4">
      <c r="B10" s="18" t="s">
        <v>9</v>
      </c>
      <c r="C10" s="24">
        <v>6991</v>
      </c>
      <c r="D10" s="24">
        <v>14037</v>
      </c>
      <c r="E10" s="24">
        <v>19205</v>
      </c>
      <c r="F10" s="24">
        <f t="shared" si="0"/>
        <v>40233</v>
      </c>
      <c r="G10" s="21">
        <f t="shared" si="1"/>
        <v>0.17399999999999999</v>
      </c>
      <c r="H10" s="8"/>
    </row>
    <row r="11" spans="1:8" x14ac:dyDescent="0.4">
      <c r="B11" s="18" t="s">
        <v>10</v>
      </c>
      <c r="C11" s="24">
        <v>9513</v>
      </c>
      <c r="D11" s="24">
        <v>15104</v>
      </c>
      <c r="E11" s="24">
        <v>12202</v>
      </c>
      <c r="F11" s="24">
        <f t="shared" si="0"/>
        <v>36819</v>
      </c>
      <c r="G11" s="21">
        <f t="shared" si="1"/>
        <v>0.25900000000000001</v>
      </c>
      <c r="H11" s="8"/>
    </row>
    <row r="12" spans="1:8" x14ac:dyDescent="0.4">
      <c r="B12" s="18" t="s">
        <v>11</v>
      </c>
      <c r="C12" s="24">
        <v>8061</v>
      </c>
      <c r="D12" s="24">
        <v>11302</v>
      </c>
      <c r="E12" s="24">
        <v>19656</v>
      </c>
      <c r="F12" s="24">
        <f t="shared" si="0"/>
        <v>39019</v>
      </c>
      <c r="G12" s="21">
        <f t="shared" si="1"/>
        <v>0.20699999999999999</v>
      </c>
      <c r="H12" s="8"/>
    </row>
    <row r="13" spans="1:8" x14ac:dyDescent="0.4">
      <c r="B13" s="18" t="s">
        <v>12</v>
      </c>
      <c r="C13" s="24">
        <v>14616</v>
      </c>
      <c r="D13" s="24">
        <v>38339</v>
      </c>
      <c r="E13" s="24">
        <v>35284</v>
      </c>
      <c r="F13" s="24">
        <f t="shared" si="0"/>
        <v>88239</v>
      </c>
      <c r="G13" s="21">
        <f t="shared" si="1"/>
        <v>0.16600000000000001</v>
      </c>
      <c r="H13" s="8"/>
    </row>
    <row r="14" spans="1:8" x14ac:dyDescent="0.4">
      <c r="B14" s="18" t="s">
        <v>13</v>
      </c>
      <c r="C14" s="24">
        <v>19458</v>
      </c>
      <c r="D14" s="24">
        <v>31284</v>
      </c>
      <c r="E14" s="24">
        <v>26201</v>
      </c>
      <c r="F14" s="24">
        <f t="shared" si="0"/>
        <v>76943</v>
      </c>
      <c r="G14" s="21">
        <f t="shared" si="1"/>
        <v>0.253</v>
      </c>
      <c r="H14" s="8"/>
    </row>
    <row r="15" spans="1:8" x14ac:dyDescent="0.4">
      <c r="B15" s="18" t="s">
        <v>14</v>
      </c>
      <c r="C15" s="24">
        <v>6582</v>
      </c>
      <c r="D15" s="24">
        <v>11081</v>
      </c>
      <c r="E15" s="24">
        <v>13907</v>
      </c>
      <c r="F15" s="24">
        <f t="shared" si="0"/>
        <v>31570</v>
      </c>
      <c r="G15" s="21">
        <f t="shared" si="1"/>
        <v>0.20899999999999999</v>
      </c>
      <c r="H15" s="8"/>
    </row>
    <row r="16" spans="1:8" ht="19.5" thickBot="1" x14ac:dyDescent="0.45">
      <c r="B16" s="19" t="s">
        <v>15</v>
      </c>
      <c r="C16" s="25">
        <v>14772</v>
      </c>
      <c r="D16" s="25">
        <v>21573</v>
      </c>
      <c r="E16" s="25">
        <v>30106</v>
      </c>
      <c r="F16" s="25">
        <f t="shared" si="0"/>
        <v>66451</v>
      </c>
      <c r="G16" s="22">
        <f t="shared" si="1"/>
        <v>0.223</v>
      </c>
      <c r="H16" s="9"/>
    </row>
    <row r="17" spans="2:6" x14ac:dyDescent="0.4">
      <c r="B17" s="14" t="s">
        <v>26</v>
      </c>
      <c r="C17" s="26">
        <f t="shared" ref="C17:F17" si="2">SUM(C7:C16)</f>
        <v>121656</v>
      </c>
      <c r="D17" s="26">
        <f t="shared" si="2"/>
        <v>208295</v>
      </c>
      <c r="E17" s="26">
        <f t="shared" si="2"/>
        <v>230673</v>
      </c>
      <c r="F17" s="27">
        <f t="shared" si="2"/>
        <v>560624</v>
      </c>
    </row>
    <row r="18" spans="2:6" x14ac:dyDescent="0.4">
      <c r="B18" s="15" t="s">
        <v>27</v>
      </c>
      <c r="C18" s="24">
        <f>AVERAGE(C7:C16)</f>
        <v>12165.6</v>
      </c>
      <c r="D18" s="24">
        <f t="shared" ref="D18:F18" si="3">AVERAGE(D7:D16)</f>
        <v>20829.5</v>
      </c>
      <c r="E18" s="24">
        <f t="shared" si="3"/>
        <v>23067.3</v>
      </c>
      <c r="F18" s="28">
        <f t="shared" si="3"/>
        <v>56062.400000000001</v>
      </c>
    </row>
    <row r="19" spans="2:6" x14ac:dyDescent="0.4">
      <c r="B19" s="15" t="s">
        <v>28</v>
      </c>
      <c r="C19" s="24">
        <f>MAX(C7:C16)</f>
        <v>19458</v>
      </c>
      <c r="D19" s="24">
        <f t="shared" ref="D19:F19" si="4">MAX(D7:D16)</f>
        <v>38339</v>
      </c>
      <c r="E19" s="24">
        <f t="shared" si="4"/>
        <v>37100</v>
      </c>
      <c r="F19" s="28">
        <f t="shared" si="4"/>
        <v>88584</v>
      </c>
    </row>
    <row r="20" spans="2:6" ht="19.5" thickBot="1" x14ac:dyDescent="0.45">
      <c r="B20" s="16" t="s">
        <v>29</v>
      </c>
      <c r="C20" s="25">
        <f>MIN(C7:C16)</f>
        <v>6582</v>
      </c>
      <c r="D20" s="25">
        <f t="shared" ref="D20:F20" si="5">MIN(D7:D16)</f>
        <v>11081</v>
      </c>
      <c r="E20" s="25">
        <f t="shared" si="5"/>
        <v>12202</v>
      </c>
      <c r="F20" s="29">
        <f t="shared" si="5"/>
        <v>31570</v>
      </c>
    </row>
  </sheetData>
  <phoneticPr fontId="3"/>
  <printOptions horizontalCentered="1"/>
  <pageMargins left="0.70866141732283472" right="0.70866141732283472" top="0.59055118110236227" bottom="0.59055118110236227" header="0.31496062992125984" footer="0.31496062992125984"/>
  <pageSetup paperSize="13" orientation="landscape" r:id="rId1"/>
  <headerFooter>
    <oddHeader>&amp;R&amp;D</oddHeader>
    <oddFooter>&amp;L&amp;A</oddFooter>
  </headerFooter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high="1">
          <x14:colorSeries rgb="FF0070C0"/>
          <x14:colorNegative rgb="FF000000"/>
          <x14:colorAxis rgb="FF000000"/>
          <x14:colorMarkers rgb="FF000000"/>
          <x14:colorFirst rgb="FF000000"/>
          <x14:colorLast rgb="FF000000"/>
          <x14:colorHigh rgb="FF000000"/>
          <x14:colorLow rgb="FF000000"/>
          <x14:sparklines>
            <x14:sparkline>
              <xm:f>人口調査!C7:E7</xm:f>
              <xm:sqref>H7</xm:sqref>
            </x14:sparkline>
            <x14:sparkline>
              <xm:f>人口調査!C8:E8</xm:f>
              <xm:sqref>H8</xm:sqref>
            </x14:sparkline>
            <x14:sparkline>
              <xm:f>人口調査!C9:E9</xm:f>
              <xm:sqref>H9</xm:sqref>
            </x14:sparkline>
            <x14:sparkline>
              <xm:f>人口調査!C10:E10</xm:f>
              <xm:sqref>H10</xm:sqref>
            </x14:sparkline>
            <x14:sparkline>
              <xm:f>人口調査!C11:E11</xm:f>
              <xm:sqref>H11</xm:sqref>
            </x14:sparkline>
            <x14:sparkline>
              <xm:f>人口調査!C12:E12</xm:f>
              <xm:sqref>H12</xm:sqref>
            </x14:sparkline>
            <x14:sparkline>
              <xm:f>人口調査!C13:E13</xm:f>
              <xm:sqref>H13</xm:sqref>
            </x14:sparkline>
            <x14:sparkline>
              <xm:f>人口調査!C14:E14</xm:f>
              <xm:sqref>H14</xm:sqref>
            </x14:sparkline>
            <x14:sparkline>
              <xm:f>人口調査!C15:E15</xm:f>
              <xm:sqref>H15</xm:sqref>
            </x14:sparkline>
            <x14:sparkline>
              <xm:f>人口調査!C16:E16</xm:f>
              <xm:sqref>H16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4"/>
  <sheetViews>
    <sheetView showGridLines="0" workbookViewId="0"/>
  </sheetViews>
  <sheetFormatPr defaultRowHeight="18.75" x14ac:dyDescent="0.4"/>
  <cols>
    <col min="1" max="1" width="3.625" style="4" customWidth="1"/>
    <col min="2" max="2" width="10.625" style="4" customWidth="1"/>
    <col min="3" max="7" width="15.625" style="4" customWidth="1"/>
    <col min="8" max="16384" width="9" style="4"/>
  </cols>
  <sheetData>
    <row r="2" spans="2:7" x14ac:dyDescent="0.4">
      <c r="B2" s="5" t="s">
        <v>16</v>
      </c>
    </row>
    <row r="4" spans="2:7" x14ac:dyDescent="0.4">
      <c r="B4" s="32" t="s">
        <v>2</v>
      </c>
      <c r="C4" s="33" t="s">
        <v>17</v>
      </c>
      <c r="D4" s="33" t="s">
        <v>18</v>
      </c>
      <c r="E4" s="33" t="s">
        <v>19</v>
      </c>
      <c r="F4" s="33" t="s">
        <v>20</v>
      </c>
      <c r="G4" s="34" t="s">
        <v>21</v>
      </c>
    </row>
    <row r="5" spans="2:7" x14ac:dyDescent="0.4">
      <c r="B5" s="30" t="s">
        <v>13</v>
      </c>
      <c r="C5" s="6">
        <v>2768</v>
      </c>
      <c r="D5" s="6">
        <v>5007</v>
      </c>
      <c r="E5" s="6">
        <v>4710</v>
      </c>
      <c r="F5" s="6">
        <v>6973</v>
      </c>
      <c r="G5" s="31">
        <v>19458</v>
      </c>
    </row>
    <row r="6" spans="2:7" x14ac:dyDescent="0.4">
      <c r="B6" s="30" t="s">
        <v>7</v>
      </c>
      <c r="C6" s="6">
        <v>2697</v>
      </c>
      <c r="D6" s="6">
        <v>5096</v>
      </c>
      <c r="E6" s="6">
        <v>4801</v>
      </c>
      <c r="F6" s="6">
        <v>4983</v>
      </c>
      <c r="G6" s="31">
        <v>17577</v>
      </c>
    </row>
    <row r="7" spans="2:7" hidden="1" x14ac:dyDescent="0.4">
      <c r="B7" s="30" t="s">
        <v>15</v>
      </c>
      <c r="C7" s="6">
        <v>2133</v>
      </c>
      <c r="D7" s="6">
        <v>4021</v>
      </c>
      <c r="E7" s="6">
        <v>3803</v>
      </c>
      <c r="F7" s="6">
        <v>4815</v>
      </c>
      <c r="G7" s="31">
        <v>14772</v>
      </c>
    </row>
    <row r="8" spans="2:7" hidden="1" x14ac:dyDescent="0.4">
      <c r="B8" s="30" t="s">
        <v>12</v>
      </c>
      <c r="C8" s="6">
        <v>2265</v>
      </c>
      <c r="D8" s="6">
        <v>4288</v>
      </c>
      <c r="E8" s="6">
        <v>4049</v>
      </c>
      <c r="F8" s="6">
        <v>4014</v>
      </c>
      <c r="G8" s="31">
        <v>14616</v>
      </c>
    </row>
    <row r="9" spans="2:7" hidden="1" x14ac:dyDescent="0.4">
      <c r="B9" s="30" t="s">
        <v>8</v>
      </c>
      <c r="C9" s="6">
        <v>1973</v>
      </c>
      <c r="D9" s="6">
        <v>2650</v>
      </c>
      <c r="E9" s="6">
        <v>3307</v>
      </c>
      <c r="F9" s="6">
        <v>4501</v>
      </c>
      <c r="G9" s="31">
        <v>12431</v>
      </c>
    </row>
    <row r="10" spans="2:7" hidden="1" x14ac:dyDescent="0.4">
      <c r="B10" s="30" t="s">
        <v>6</v>
      </c>
      <c r="C10" s="6">
        <v>2565</v>
      </c>
      <c r="D10" s="6">
        <v>3073</v>
      </c>
      <c r="E10" s="6">
        <v>2907</v>
      </c>
      <c r="F10" s="6">
        <v>3110</v>
      </c>
      <c r="G10" s="31">
        <v>11655</v>
      </c>
    </row>
    <row r="11" spans="2:7" hidden="1" x14ac:dyDescent="0.4">
      <c r="B11" s="30" t="s">
        <v>10</v>
      </c>
      <c r="C11" s="6">
        <v>1480</v>
      </c>
      <c r="D11" s="6">
        <v>2825</v>
      </c>
      <c r="E11" s="6">
        <v>2652</v>
      </c>
      <c r="F11" s="6">
        <v>2556</v>
      </c>
      <c r="G11" s="31">
        <v>9513</v>
      </c>
    </row>
    <row r="12" spans="2:7" hidden="1" x14ac:dyDescent="0.4">
      <c r="B12" s="30" t="s">
        <v>11</v>
      </c>
      <c r="C12" s="6">
        <v>1123</v>
      </c>
      <c r="D12" s="6">
        <v>2129</v>
      </c>
      <c r="E12" s="6">
        <v>2011</v>
      </c>
      <c r="F12" s="6">
        <v>2798</v>
      </c>
      <c r="G12" s="31">
        <v>8061</v>
      </c>
    </row>
    <row r="13" spans="2:7" hidden="1" x14ac:dyDescent="0.4">
      <c r="B13" s="30" t="s">
        <v>9</v>
      </c>
      <c r="C13" s="6">
        <v>1044</v>
      </c>
      <c r="D13" s="6">
        <v>1966</v>
      </c>
      <c r="E13" s="6">
        <v>1859</v>
      </c>
      <c r="F13" s="6">
        <v>2122</v>
      </c>
      <c r="G13" s="31">
        <v>6991</v>
      </c>
    </row>
    <row r="14" spans="2:7" hidden="1" x14ac:dyDescent="0.4">
      <c r="B14" s="35" t="s">
        <v>14</v>
      </c>
      <c r="C14" s="36">
        <v>982</v>
      </c>
      <c r="D14" s="36">
        <v>1854</v>
      </c>
      <c r="E14" s="36">
        <v>1755</v>
      </c>
      <c r="F14" s="36">
        <v>1991</v>
      </c>
      <c r="G14" s="37">
        <v>6582</v>
      </c>
    </row>
  </sheetData>
  <phoneticPr fontId="3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ワークシート</vt:lpstr>
      </vt:variant>
      <vt:variant>
        <vt:i4>2</vt:i4>
      </vt:variant>
      <vt:variant>
        <vt:lpstr>グラフ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人口調査</vt:lpstr>
      <vt:lpstr>分析</vt:lpstr>
      <vt:lpstr>Graph1</vt:lpstr>
      <vt:lpstr>人口調査!Print_Area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Certify</dc:creator>
  <cp:lastPrinted>2016-03-10T01:46:13Z</cp:lastPrinted>
  <dcterms:created xsi:type="dcterms:W3CDTF">2016-02-26T08:48:07Z</dcterms:created>
  <dcterms:modified xsi:type="dcterms:W3CDTF">2016-04-20T06:59:38Z</dcterms:modified>
</cp:coreProperties>
</file>